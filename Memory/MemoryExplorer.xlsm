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Macros\GitHub\VBA-Toolbox\Memory\"/>
    </mc:Choice>
  </mc:AlternateContent>
  <xr:revisionPtr revIDLastSave="0" documentId="13_ncr:1_{ED1A43D1-779C-410B-9DB5-4CAD52F23EDA}" xr6:coauthVersionLast="44" xr6:coauthVersionMax="44" xr10:uidLastSave="{00000000-0000-0000-0000-000000000000}"/>
  <bookViews>
    <workbookView xWindow="-96" yWindow="-96" windowWidth="23232" windowHeight="12552" activeTab="1" xr2:uid="{812E81B7-8C94-4F08-AE22-5D771FD9803A}"/>
  </bookViews>
  <sheets>
    <sheet name="Sheet1" sheetId="1" r:id="rId1"/>
    <sheet name="Results" sheetId="2" r:id="rId2"/>
    <sheet name="TypeWriter" sheetId="4" r:id="rId3"/>
    <sheet name="Sheet2" sheetId="5" r:id="rId4"/>
    <sheet name="VT_Stuff" sheetId="3" r:id="rId5"/>
  </sheets>
  <functionGroups builtInGroupCount="19"/>
  <definedNames>
    <definedName name="ClassName">TypeWriter!$B$2</definedName>
    <definedName name="ConstructorMask">TypeWriter!$K$10</definedName>
    <definedName name="TypeMask">TypeWriter!$K$2</definedName>
    <definedName name="TypeName">TypeWriter!$B$3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" i="3" l="1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E2" i="3"/>
  <c r="E5" i="3"/>
  <c r="E3" i="3"/>
  <c r="E27" i="3"/>
  <c r="E16" i="3"/>
  <c r="E30" i="3"/>
  <c r="E7" i="3"/>
  <c r="E19" i="3"/>
  <c r="E31" i="3"/>
  <c r="E8" i="3"/>
  <c r="E20" i="3"/>
  <c r="E23" i="3"/>
  <c r="E35" i="3"/>
  <c r="E24" i="3"/>
  <c r="E28" i="3"/>
  <c r="E18" i="3"/>
  <c r="E32" i="3"/>
  <c r="E17" i="3"/>
  <c r="E9" i="3"/>
  <c r="E21" i="3"/>
  <c r="E33" i="3"/>
  <c r="E10" i="3"/>
  <c r="E22" i="3"/>
  <c r="E34" i="3"/>
  <c r="E11" i="3"/>
  <c r="E12" i="3"/>
  <c r="E36" i="3"/>
  <c r="E29" i="3"/>
  <c r="E13" i="3"/>
  <c r="E25" i="3"/>
  <c r="E37" i="3"/>
  <c r="E14" i="3"/>
  <c r="E26" i="3"/>
  <c r="E15" i="3"/>
  <c r="E4" i="3"/>
  <c r="E6" i="3"/>
  <c r="D4" i="4" l="1"/>
  <c r="I2" i="4"/>
  <c r="H3" i="4"/>
  <c r="I3" i="4"/>
  <c r="H2" i="4"/>
  <c r="G3" i="4"/>
  <c r="G2" i="4"/>
  <c r="I4" i="4" l="1"/>
  <c r="H4" i="4"/>
  <c r="G4" i="4"/>
  <c r="B2" i="3"/>
  <c r="F2" i="3" s="1"/>
  <c r="B3" i="3"/>
  <c r="F3" i="3" s="1"/>
  <c r="B4" i="3"/>
  <c r="F4" i="3" s="1"/>
  <c r="B5" i="3"/>
  <c r="F5" i="3" s="1"/>
  <c r="B6" i="3"/>
  <c r="F6" i="3" s="1"/>
  <c r="B7" i="3"/>
  <c r="F7" i="3" s="1"/>
  <c r="B8" i="3"/>
  <c r="F8" i="3" s="1"/>
  <c r="B9" i="3"/>
  <c r="F9" i="3" s="1"/>
  <c r="B10" i="3"/>
  <c r="F10" i="3" s="1"/>
  <c r="B11" i="3"/>
  <c r="F11" i="3" s="1"/>
  <c r="B12" i="3"/>
  <c r="F12" i="3" s="1"/>
  <c r="B13" i="3"/>
  <c r="F13" i="3" s="1"/>
  <c r="B14" i="3"/>
  <c r="F14" i="3" s="1"/>
  <c r="B15" i="3"/>
  <c r="F15" i="3" s="1"/>
  <c r="B16" i="3"/>
  <c r="F16" i="3" s="1"/>
  <c r="B17" i="3"/>
  <c r="F17" i="3" s="1"/>
  <c r="B18" i="3"/>
  <c r="F18" i="3" s="1"/>
  <c r="B19" i="3"/>
  <c r="F19" i="3" s="1"/>
  <c r="B20" i="3"/>
  <c r="F20" i="3" s="1"/>
  <c r="B21" i="3"/>
  <c r="F21" i="3" s="1"/>
  <c r="B22" i="3"/>
  <c r="F22" i="3" s="1"/>
  <c r="B23" i="3"/>
  <c r="F23" i="3" s="1"/>
  <c r="B24" i="3"/>
  <c r="F24" i="3" s="1"/>
  <c r="B25" i="3"/>
  <c r="F25" i="3" s="1"/>
  <c r="B26" i="3"/>
  <c r="F26" i="3" s="1"/>
  <c r="B27" i="3"/>
  <c r="F27" i="3" s="1"/>
  <c r="B28" i="3"/>
  <c r="F28" i="3" s="1"/>
  <c r="B29" i="3"/>
  <c r="F29" i="3" s="1"/>
  <c r="B30" i="3"/>
  <c r="F30" i="3" s="1"/>
  <c r="B31" i="3"/>
  <c r="F31" i="3" s="1"/>
  <c r="B32" i="3"/>
  <c r="F32" i="3" s="1"/>
  <c r="B33" i="3"/>
  <c r="F33" i="3" s="1"/>
  <c r="B34" i="3"/>
  <c r="F34" i="3" s="1"/>
  <c r="B35" i="3"/>
  <c r="F35" i="3" s="1"/>
  <c r="B36" i="3"/>
  <c r="F36" i="3" s="1"/>
  <c r="B37" i="3"/>
  <c r="F37" i="3" s="1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M10" i="4"/>
  <c r="M2" i="4"/>
  <c r="E38" i="3" l="1"/>
  <c r="D34" i="3"/>
  <c r="D22" i="3"/>
  <c r="D10" i="3"/>
  <c r="D9" i="3"/>
  <c r="D21" i="3"/>
  <c r="D8" i="3"/>
  <c r="D31" i="3"/>
  <c r="D19" i="3"/>
  <c r="D7" i="3"/>
  <c r="D32" i="3"/>
  <c r="D30" i="3"/>
  <c r="D29" i="3"/>
  <c r="D17" i="3"/>
  <c r="D5" i="3"/>
  <c r="D33" i="3"/>
  <c r="D20" i="3"/>
  <c r="D6" i="3"/>
  <c r="D28" i="3"/>
  <c r="D16" i="3"/>
  <c r="D4" i="3"/>
  <c r="D26" i="3"/>
  <c r="D18" i="3"/>
  <c r="D27" i="3"/>
  <c r="D15" i="3"/>
  <c r="D3" i="3"/>
  <c r="D14" i="3"/>
  <c r="D2" i="3"/>
  <c r="D37" i="3"/>
  <c r="D25" i="3"/>
  <c r="D13" i="3"/>
  <c r="D36" i="3"/>
  <c r="D24" i="3"/>
  <c r="D12" i="3"/>
  <c r="D35" i="3"/>
  <c r="D23" i="3"/>
  <c r="D11" i="3"/>
  <c r="C110" i="2"/>
  <c r="C111" i="2" s="1"/>
  <c r="C116" i="2"/>
  <c r="C117" i="2" s="1"/>
  <c r="C122" i="2"/>
  <c r="C123" i="2" s="1"/>
  <c r="C128" i="2"/>
  <c r="C129" i="2" s="1"/>
  <c r="C134" i="2"/>
  <c r="C135" i="2" s="1"/>
  <c r="C140" i="2"/>
  <c r="C141" i="2" s="1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C74" i="2"/>
  <c r="C75" i="2" s="1"/>
  <c r="C76" i="2" s="1"/>
  <c r="C80" i="2"/>
  <c r="C81" i="2" s="1"/>
  <c r="C86" i="2"/>
  <c r="C87" i="2" s="1"/>
  <c r="C92" i="2"/>
  <c r="C93" i="2" s="1"/>
  <c r="C94" i="2" s="1"/>
  <c r="C98" i="2"/>
  <c r="C99" i="2" s="1"/>
  <c r="C104" i="2"/>
  <c r="D104" i="2" s="1"/>
  <c r="C2" i="2"/>
  <c r="C3" i="2" s="1"/>
  <c r="C4" i="2" s="1"/>
  <c r="C5" i="2" s="1"/>
  <c r="C6" i="2" s="1"/>
  <c r="C7" i="2" s="1"/>
  <c r="D7" i="2" s="1"/>
  <c r="C8" i="2"/>
  <c r="C9" i="2" s="1"/>
  <c r="C10" i="2" s="1"/>
  <c r="C11" i="2" s="1"/>
  <c r="C12" i="2" s="1"/>
  <c r="C13" i="2" s="1"/>
  <c r="D13" i="2" s="1"/>
  <c r="C14" i="2"/>
  <c r="C15" i="2" s="1"/>
  <c r="C16" i="2" s="1"/>
  <c r="C17" i="2" s="1"/>
  <c r="C18" i="2" s="1"/>
  <c r="C19" i="2" s="1"/>
  <c r="D19" i="2" s="1"/>
  <c r="C20" i="2"/>
  <c r="C21" i="2" s="1"/>
  <c r="C22" i="2" s="1"/>
  <c r="C23" i="2" s="1"/>
  <c r="C24" i="2" s="1"/>
  <c r="C25" i="2" s="1"/>
  <c r="D25" i="2" s="1"/>
  <c r="C26" i="2"/>
  <c r="C27" i="2" s="1"/>
  <c r="C28" i="2" s="1"/>
  <c r="C29" i="2" s="1"/>
  <c r="C30" i="2" s="1"/>
  <c r="C31" i="2" s="1"/>
  <c r="D31" i="2" s="1"/>
  <c r="C32" i="2"/>
  <c r="C33" i="2" s="1"/>
  <c r="C34" i="2" s="1"/>
  <c r="C35" i="2" s="1"/>
  <c r="C36" i="2" s="1"/>
  <c r="C37" i="2" s="1"/>
  <c r="D37" i="2" s="1"/>
  <c r="C38" i="2"/>
  <c r="C39" i="2" s="1"/>
  <c r="C40" i="2" s="1"/>
  <c r="C41" i="2" s="1"/>
  <c r="C42" i="2" s="1"/>
  <c r="C43" i="2" s="1"/>
  <c r="D43" i="2" s="1"/>
  <c r="C44" i="2"/>
  <c r="C45" i="2" s="1"/>
  <c r="C46" i="2" s="1"/>
  <c r="C47" i="2" s="1"/>
  <c r="C48" i="2" s="1"/>
  <c r="C49" i="2" s="1"/>
  <c r="D49" i="2" s="1"/>
  <c r="C50" i="2"/>
  <c r="C51" i="2" s="1"/>
  <c r="C52" i="2" s="1"/>
  <c r="C53" i="2" s="1"/>
  <c r="C54" i="2" s="1"/>
  <c r="C55" i="2" s="1"/>
  <c r="D55" i="2" s="1"/>
  <c r="C56" i="2"/>
  <c r="C57" i="2" s="1"/>
  <c r="C58" i="2" s="1"/>
  <c r="C59" i="2" s="1"/>
  <c r="C60" i="2" s="1"/>
  <c r="C61" i="2" s="1"/>
  <c r="D61" i="2" s="1"/>
  <c r="C62" i="2"/>
  <c r="C63" i="2" s="1"/>
  <c r="C64" i="2" s="1"/>
  <c r="C65" i="2" s="1"/>
  <c r="C66" i="2" s="1"/>
  <c r="C67" i="2" s="1"/>
  <c r="D67" i="2" s="1"/>
  <c r="C68" i="2"/>
  <c r="C69" i="2" s="1"/>
  <c r="C70" i="2" s="1"/>
  <c r="C71" i="2" s="1"/>
  <c r="C72" i="2" s="1"/>
  <c r="D72" i="2" s="1"/>
  <c r="I27" i="1"/>
  <c r="I2" i="3"/>
  <c r="G110" i="2"/>
  <c r="H35" i="2"/>
  <c r="E68" i="2"/>
  <c r="H65" i="2"/>
  <c r="H67" i="2"/>
  <c r="H70" i="2"/>
  <c r="G22" i="2"/>
  <c r="I99" i="2"/>
  <c r="G3" i="2"/>
  <c r="I36" i="2"/>
  <c r="G42" i="2"/>
  <c r="E24" i="2"/>
  <c r="E51" i="2"/>
  <c r="G99" i="2"/>
  <c r="H25" i="2"/>
  <c r="G116" i="2"/>
  <c r="I45" i="2"/>
  <c r="H61" i="2"/>
  <c r="I40" i="2"/>
  <c r="G46" i="2"/>
  <c r="E32" i="2"/>
  <c r="E13" i="2"/>
  <c r="I54" i="2"/>
  <c r="G10" i="2"/>
  <c r="E54" i="2"/>
  <c r="I20" i="2"/>
  <c r="E50" i="2"/>
  <c r="I92" i="2"/>
  <c r="G104" i="2"/>
  <c r="I42" i="2"/>
  <c r="H7" i="2"/>
  <c r="G54" i="2"/>
  <c r="G20" i="2"/>
  <c r="H64" i="2"/>
  <c r="H66" i="2"/>
  <c r="G19" i="2"/>
  <c r="I22" i="2"/>
  <c r="G71" i="2"/>
  <c r="I48" i="2"/>
  <c r="G128" i="2"/>
  <c r="H42" i="2"/>
  <c r="H27" i="2"/>
  <c r="H17" i="2"/>
  <c r="E43" i="2"/>
  <c r="I9" i="2"/>
  <c r="H81" i="2"/>
  <c r="I37" i="2"/>
  <c r="G65" i="2"/>
  <c r="I14" i="2"/>
  <c r="H14" i="2"/>
  <c r="I19" i="2"/>
  <c r="E99" i="2"/>
  <c r="G122" i="2"/>
  <c r="H6" i="2"/>
  <c r="E37" i="2"/>
  <c r="E31" i="2"/>
  <c r="E10" i="2"/>
  <c r="H43" i="2"/>
  <c r="E27" i="2"/>
  <c r="G61" i="2"/>
  <c r="G62" i="2"/>
  <c r="H19" i="2"/>
  <c r="I75" i="2"/>
  <c r="G60" i="2"/>
  <c r="E62" i="2"/>
  <c r="G4" i="2"/>
  <c r="H47" i="2"/>
  <c r="E80" i="2"/>
  <c r="H40" i="2"/>
  <c r="H28" i="2"/>
  <c r="G98" i="2"/>
  <c r="I43" i="2"/>
  <c r="E42" i="2"/>
  <c r="H41" i="2"/>
  <c r="E35" i="2"/>
  <c r="E49" i="2"/>
  <c r="E52" i="2"/>
  <c r="H52" i="2"/>
  <c r="G33" i="2"/>
  <c r="G47" i="2"/>
  <c r="I60" i="2"/>
  <c r="G49" i="2"/>
  <c r="G36" i="2"/>
  <c r="H49" i="2"/>
  <c r="E39" i="2"/>
  <c r="G58" i="2"/>
  <c r="I23" i="2"/>
  <c r="E4" i="2"/>
  <c r="I35" i="2"/>
  <c r="E15" i="2"/>
  <c r="H54" i="2"/>
  <c r="H69" i="2"/>
  <c r="G92" i="2"/>
  <c r="I32" i="2"/>
  <c r="E57" i="2"/>
  <c r="E104" i="2"/>
  <c r="I74" i="2"/>
  <c r="G87" i="2"/>
  <c r="G40" i="2"/>
  <c r="G28" i="2"/>
  <c r="I58" i="2"/>
  <c r="H57" i="2"/>
  <c r="E69" i="2"/>
  <c r="G80" i="2"/>
  <c r="E6" i="2"/>
  <c r="G16" i="2"/>
  <c r="G75" i="2"/>
  <c r="I38" i="2"/>
  <c r="I80" i="2"/>
  <c r="G12" i="2"/>
  <c r="H63" i="2"/>
  <c r="E40" i="2"/>
  <c r="I140" i="2"/>
  <c r="G63" i="2"/>
  <c r="G66" i="2"/>
  <c r="G51" i="2"/>
  <c r="H26" i="2"/>
  <c r="E98" i="2"/>
  <c r="E9" i="2"/>
  <c r="I10" i="2"/>
  <c r="G8" i="2"/>
  <c r="H32" i="2"/>
  <c r="E26" i="2"/>
  <c r="I25" i="2"/>
  <c r="E128" i="2"/>
  <c r="G45" i="2"/>
  <c r="G59" i="2"/>
  <c r="H87" i="2"/>
  <c r="H140" i="2"/>
  <c r="E11" i="2"/>
  <c r="H34" i="2"/>
  <c r="G21" i="2"/>
  <c r="E74" i="2"/>
  <c r="G6" i="2"/>
  <c r="I110" i="2"/>
  <c r="H92" i="2"/>
  <c r="E23" i="2"/>
  <c r="E5" i="2"/>
  <c r="H74" i="2"/>
  <c r="I65" i="2"/>
  <c r="E67" i="2"/>
  <c r="H45" i="2"/>
  <c r="E81" i="2"/>
  <c r="I27" i="2"/>
  <c r="I47" i="2"/>
  <c r="I55" i="2"/>
  <c r="E2" i="2"/>
  <c r="H8" i="2"/>
  <c r="E12" i="2"/>
  <c r="G37" i="2"/>
  <c r="E59" i="2"/>
  <c r="G34" i="2"/>
  <c r="G25" i="2"/>
  <c r="E7" i="2"/>
  <c r="H4" i="2"/>
  <c r="G2" i="2"/>
  <c r="G52" i="2"/>
  <c r="I104" i="2"/>
  <c r="H60" i="2"/>
  <c r="E45" i="2"/>
  <c r="E53" i="2"/>
  <c r="E19" i="2"/>
  <c r="I30" i="2"/>
  <c r="H55" i="2"/>
  <c r="E58" i="2"/>
  <c r="E46" i="2"/>
  <c r="G18" i="2"/>
  <c r="E60" i="2"/>
  <c r="E3" i="2"/>
  <c r="H93" i="2"/>
  <c r="G43" i="2"/>
  <c r="H44" i="2"/>
  <c r="H36" i="2"/>
  <c r="G134" i="2"/>
  <c r="I15" i="2"/>
  <c r="I31" i="2"/>
  <c r="G35" i="2"/>
  <c r="E16" i="2"/>
  <c r="G17" i="2"/>
  <c r="E116" i="2"/>
  <c r="H122" i="2"/>
  <c r="G50" i="2"/>
  <c r="E44" i="2"/>
  <c r="H53" i="2"/>
  <c r="E63" i="2"/>
  <c r="E34" i="2"/>
  <c r="G30" i="2"/>
  <c r="I11" i="2"/>
  <c r="I87" i="2"/>
  <c r="E36" i="2"/>
  <c r="G57" i="2"/>
  <c r="I50" i="2"/>
  <c r="G39" i="2"/>
  <c r="H30" i="2"/>
  <c r="E30" i="2"/>
  <c r="H15" i="2"/>
  <c r="I71" i="2"/>
  <c r="H33" i="2"/>
  <c r="I21" i="2"/>
  <c r="I122" i="2"/>
  <c r="H31" i="2"/>
  <c r="H51" i="2"/>
  <c r="G29" i="2"/>
  <c r="H20" i="2"/>
  <c r="H68" i="2"/>
  <c r="I41" i="2"/>
  <c r="G24" i="2"/>
  <c r="E93" i="2"/>
  <c r="I6" i="2"/>
  <c r="G11" i="2"/>
  <c r="I7" i="2"/>
  <c r="I2" i="2"/>
  <c r="H21" i="2"/>
  <c r="I49" i="2"/>
  <c r="H29" i="2"/>
  <c r="G68" i="2"/>
  <c r="H71" i="2"/>
  <c r="E33" i="2"/>
  <c r="E29" i="2"/>
  <c r="G44" i="2"/>
  <c r="I66" i="2"/>
  <c r="I29" i="2"/>
  <c r="H12" i="2"/>
  <c r="H99" i="2"/>
  <c r="I17" i="2"/>
  <c r="I24" i="2"/>
  <c r="G140" i="2"/>
  <c r="G74" i="2"/>
  <c r="H134" i="2"/>
  <c r="G86" i="2"/>
  <c r="I44" i="2"/>
  <c r="I62" i="2"/>
  <c r="E65" i="2"/>
  <c r="I16" i="2"/>
  <c r="H39" i="2"/>
  <c r="G14" i="2"/>
  <c r="E55" i="2"/>
  <c r="E18" i="2"/>
  <c r="H11" i="2"/>
  <c r="I39" i="2"/>
  <c r="H128" i="2"/>
  <c r="I98" i="2"/>
  <c r="I12" i="2"/>
  <c r="E20" i="2"/>
  <c r="E38" i="2"/>
  <c r="I134" i="2"/>
  <c r="I18" i="2"/>
  <c r="I93" i="2"/>
  <c r="I56" i="2"/>
  <c r="I3" i="2"/>
  <c r="I72" i="2"/>
  <c r="E64" i="2"/>
  <c r="H23" i="2"/>
  <c r="E47" i="2"/>
  <c r="H5" i="2"/>
  <c r="E17" i="2"/>
  <c r="H10" i="2"/>
  <c r="I51" i="2"/>
  <c r="I70" i="2"/>
  <c r="H18" i="2"/>
  <c r="G32" i="2"/>
  <c r="H9" i="2"/>
  <c r="H86" i="2"/>
  <c r="G56" i="2"/>
  <c r="I28" i="2"/>
  <c r="G64" i="2"/>
  <c r="I116" i="2"/>
  <c r="I34" i="2"/>
  <c r="I128" i="2"/>
  <c r="I57" i="2"/>
  <c r="H13" i="2"/>
  <c r="H24" i="2"/>
  <c r="H62" i="2"/>
  <c r="E72" i="2"/>
  <c r="E71" i="2"/>
  <c r="I86" i="2"/>
  <c r="I4" i="2"/>
  <c r="H58" i="2"/>
  <c r="G7" i="2"/>
  <c r="E8" i="2"/>
  <c r="E92" i="2"/>
  <c r="G27" i="2"/>
  <c r="G81" i="2"/>
  <c r="G72" i="2"/>
  <c r="H50" i="2"/>
  <c r="I52" i="2"/>
  <c r="E75" i="2"/>
  <c r="I61" i="2"/>
  <c r="E21" i="2"/>
  <c r="H80" i="2"/>
  <c r="H22" i="2"/>
  <c r="E87" i="2"/>
  <c r="I33" i="2"/>
  <c r="E66" i="2"/>
  <c r="G23" i="2"/>
  <c r="H48" i="2"/>
  <c r="G70" i="2"/>
  <c r="G31" i="2"/>
  <c r="H104" i="2"/>
  <c r="E140" i="2"/>
  <c r="G93" i="2"/>
  <c r="E25" i="2"/>
  <c r="H98" i="2"/>
  <c r="E70" i="2"/>
  <c r="G41" i="2"/>
  <c r="H37" i="2"/>
  <c r="G53" i="2"/>
  <c r="H110" i="2"/>
  <c r="I53" i="2"/>
  <c r="I64" i="2"/>
  <c r="E134" i="2"/>
  <c r="E86" i="2"/>
  <c r="G13" i="2"/>
  <c r="H116" i="2"/>
  <c r="I59" i="2"/>
  <c r="E56" i="2"/>
  <c r="H72" i="2"/>
  <c r="I68" i="2"/>
  <c r="E61" i="2"/>
  <c r="I8" i="2"/>
  <c r="H3" i="2"/>
  <c r="E41" i="2"/>
  <c r="E48" i="2"/>
  <c r="G69" i="2"/>
  <c r="I69" i="2"/>
  <c r="H38" i="2"/>
  <c r="I81" i="2"/>
  <c r="H75" i="2"/>
  <c r="H56" i="2"/>
  <c r="H59" i="2"/>
  <c r="E122" i="2"/>
  <c r="I46" i="2"/>
  <c r="G26" i="2"/>
  <c r="G9" i="2"/>
  <c r="E22" i="2"/>
  <c r="I63" i="2"/>
  <c r="E14" i="2"/>
  <c r="E28" i="2"/>
  <c r="G48" i="2"/>
  <c r="G38" i="2"/>
  <c r="H2" i="2"/>
  <c r="I5" i="2"/>
  <c r="I13" i="2"/>
  <c r="I67" i="2"/>
  <c r="E110" i="2"/>
  <c r="H46" i="2"/>
  <c r="G55" i="2"/>
  <c r="H16" i="2"/>
  <c r="I26" i="2"/>
  <c r="G67" i="2"/>
  <c r="G5" i="2"/>
  <c r="G15" i="2"/>
  <c r="L34" i="2" l="1"/>
  <c r="L69" i="2"/>
  <c r="L30" i="2"/>
  <c r="L28" i="2"/>
  <c r="L18" i="2"/>
  <c r="L51" i="2"/>
  <c r="L60" i="2"/>
  <c r="L55" i="2"/>
  <c r="L27" i="2"/>
  <c r="L61" i="2"/>
  <c r="L81" i="2"/>
  <c r="L13" i="2"/>
  <c r="L70" i="2"/>
  <c r="L24" i="2"/>
  <c r="L16" i="2"/>
  <c r="L45" i="2"/>
  <c r="L48" i="2"/>
  <c r="L93" i="2"/>
  <c r="L58" i="2"/>
  <c r="L49" i="2"/>
  <c r="L23" i="2"/>
  <c r="L59" i="2"/>
  <c r="L53" i="2"/>
  <c r="L87" i="2"/>
  <c r="L46" i="2"/>
  <c r="L21" i="2"/>
  <c r="L66" i="2"/>
  <c r="L31" i="2"/>
  <c r="L6" i="2"/>
  <c r="L19" i="2"/>
  <c r="L35" i="2"/>
  <c r="L64" i="2"/>
  <c r="L54" i="2"/>
  <c r="L4" i="2"/>
  <c r="L17" i="2"/>
  <c r="L47" i="2"/>
  <c r="L15" i="2"/>
  <c r="L72" i="2"/>
  <c r="L37" i="2"/>
  <c r="L36" i="2"/>
  <c r="L41" i="2"/>
  <c r="L39" i="2"/>
  <c r="L71" i="2"/>
  <c r="L11" i="2"/>
  <c r="L9" i="2"/>
  <c r="L12" i="2"/>
  <c r="L67" i="2"/>
  <c r="L25" i="2"/>
  <c r="L7" i="2"/>
  <c r="L57" i="2"/>
  <c r="L22" i="2"/>
  <c r="L75" i="2"/>
  <c r="L42" i="2"/>
  <c r="L43" i="2"/>
  <c r="L10" i="2"/>
  <c r="L99" i="2"/>
  <c r="L65" i="2"/>
  <c r="L29" i="2"/>
  <c r="L5" i="2"/>
  <c r="L52" i="2"/>
  <c r="L33" i="2"/>
  <c r="L40" i="2"/>
  <c r="L63" i="2"/>
  <c r="L3" i="2"/>
  <c r="K53" i="2"/>
  <c r="K45" i="2"/>
  <c r="K31" i="2"/>
  <c r="K80" i="2"/>
  <c r="K48" i="2"/>
  <c r="K46" i="2"/>
  <c r="K56" i="2"/>
  <c r="K54" i="2"/>
  <c r="K52" i="2"/>
  <c r="K38" i="2"/>
  <c r="K75" i="2"/>
  <c r="K110" i="2"/>
  <c r="K104" i="2"/>
  <c r="K37" i="2"/>
  <c r="K33" i="2"/>
  <c r="K36" i="2"/>
  <c r="K34" i="2"/>
  <c r="K44" i="2"/>
  <c r="K42" i="2"/>
  <c r="K40" i="2"/>
  <c r="K26" i="2"/>
  <c r="K87" i="2"/>
  <c r="K128" i="2"/>
  <c r="K55" i="2"/>
  <c r="K43" i="2"/>
  <c r="K27" i="2"/>
  <c r="K24" i="2"/>
  <c r="K22" i="2"/>
  <c r="K32" i="2"/>
  <c r="K30" i="2"/>
  <c r="K28" i="2"/>
  <c r="K14" i="2"/>
  <c r="K93" i="2"/>
  <c r="K41" i="2"/>
  <c r="K12" i="2"/>
  <c r="K10" i="2"/>
  <c r="K20" i="2"/>
  <c r="K18" i="2"/>
  <c r="K16" i="2"/>
  <c r="K2" i="2"/>
  <c r="K134" i="2"/>
  <c r="K99" i="2"/>
  <c r="K61" i="2"/>
  <c r="K58" i="2"/>
  <c r="K8" i="2"/>
  <c r="K6" i="2"/>
  <c r="K4" i="2"/>
  <c r="K49" i="2"/>
  <c r="K74" i="2"/>
  <c r="K47" i="2"/>
  <c r="K39" i="2"/>
  <c r="K62" i="2"/>
  <c r="K71" i="2"/>
  <c r="K69" i="2"/>
  <c r="K67" i="2"/>
  <c r="K65" i="2"/>
  <c r="K63" i="2"/>
  <c r="K81" i="2"/>
  <c r="K116" i="2"/>
  <c r="K140" i="2"/>
  <c r="K122" i="2"/>
  <c r="K51" i="2"/>
  <c r="K13" i="2"/>
  <c r="K23" i="2"/>
  <c r="K21" i="2"/>
  <c r="K19" i="2"/>
  <c r="K17" i="2"/>
  <c r="K15" i="2"/>
  <c r="K86" i="2"/>
  <c r="K98" i="2"/>
  <c r="K59" i="2"/>
  <c r="K25" i="2"/>
  <c r="K29" i="2"/>
  <c r="K72" i="2"/>
  <c r="K11" i="2"/>
  <c r="K9" i="2"/>
  <c r="K7" i="2"/>
  <c r="K5" i="2"/>
  <c r="K3" i="2"/>
  <c r="K57" i="2"/>
  <c r="K92" i="2"/>
  <c r="K35" i="2"/>
  <c r="K60" i="2"/>
  <c r="K70" i="2"/>
  <c r="K68" i="2"/>
  <c r="K66" i="2"/>
  <c r="K64" i="2"/>
  <c r="K50" i="2"/>
  <c r="D110" i="2"/>
  <c r="D116" i="2"/>
  <c r="D140" i="2"/>
  <c r="D134" i="2"/>
  <c r="D128" i="2"/>
  <c r="D122" i="2"/>
  <c r="D141" i="2"/>
  <c r="C142" i="2"/>
  <c r="D123" i="2"/>
  <c r="C124" i="2"/>
  <c r="D111" i="2"/>
  <c r="C112" i="2"/>
  <c r="D135" i="2"/>
  <c r="C136" i="2"/>
  <c r="D129" i="2"/>
  <c r="C130" i="2"/>
  <c r="D117" i="2"/>
  <c r="C118" i="2"/>
  <c r="D74" i="2"/>
  <c r="C105" i="2"/>
  <c r="D105" i="2" s="1"/>
  <c r="D92" i="2"/>
  <c r="C82" i="2"/>
  <c r="D82" i="2" s="1"/>
  <c r="D81" i="2"/>
  <c r="C88" i="2"/>
  <c r="D88" i="2" s="1"/>
  <c r="D87" i="2"/>
  <c r="C100" i="2"/>
  <c r="D100" i="2" s="1"/>
  <c r="D99" i="2"/>
  <c r="D98" i="2"/>
  <c r="D93" i="2"/>
  <c r="D86" i="2"/>
  <c r="D80" i="2"/>
  <c r="D75" i="2"/>
  <c r="C73" i="2"/>
  <c r="D76" i="2"/>
  <c r="C77" i="2"/>
  <c r="D94" i="2"/>
  <c r="C95" i="2"/>
  <c r="D53" i="2"/>
  <c r="D51" i="2"/>
  <c r="D50" i="2"/>
  <c r="D18" i="2"/>
  <c r="D17" i="2"/>
  <c r="D16" i="2"/>
  <c r="D60" i="2"/>
  <c r="D5" i="2"/>
  <c r="D59" i="2"/>
  <c r="D4" i="2"/>
  <c r="D56" i="2"/>
  <c r="D3" i="2"/>
  <c r="D52" i="2"/>
  <c r="D6" i="2"/>
  <c r="D68" i="2"/>
  <c r="D66" i="2"/>
  <c r="D32" i="2"/>
  <c r="D65" i="2"/>
  <c r="D2" i="2"/>
  <c r="D64" i="2"/>
  <c r="D20" i="2"/>
  <c r="D54" i="2"/>
  <c r="D8" i="2"/>
  <c r="D40" i="2"/>
  <c r="D28" i="2"/>
  <c r="D63" i="2"/>
  <c r="D39" i="2"/>
  <c r="D27" i="2"/>
  <c r="D15" i="2"/>
  <c r="D38" i="2"/>
  <c r="D14" i="2"/>
  <c r="D42" i="2"/>
  <c r="D41" i="2"/>
  <c r="D48" i="2"/>
  <c r="D36" i="2"/>
  <c r="D24" i="2"/>
  <c r="D12" i="2"/>
  <c r="D71" i="2"/>
  <c r="D47" i="2"/>
  <c r="D35" i="2"/>
  <c r="D23" i="2"/>
  <c r="D11" i="2"/>
  <c r="D70" i="2"/>
  <c r="D58" i="2"/>
  <c r="D46" i="2"/>
  <c r="D34" i="2"/>
  <c r="D22" i="2"/>
  <c r="D10" i="2"/>
  <c r="D69" i="2"/>
  <c r="D57" i="2"/>
  <c r="D45" i="2"/>
  <c r="D33" i="2"/>
  <c r="D21" i="2"/>
  <c r="D9" i="2"/>
  <c r="D44" i="2"/>
  <c r="D30" i="2"/>
  <c r="D29" i="2"/>
  <c r="D62" i="2"/>
  <c r="D26" i="2"/>
  <c r="L9" i="1"/>
  <c r="G135" i="2"/>
  <c r="I141" i="2"/>
  <c r="G129" i="2"/>
  <c r="I135" i="2"/>
  <c r="I100" i="2"/>
  <c r="G100" i="2"/>
  <c r="H123" i="2"/>
  <c r="I82" i="2"/>
  <c r="E88" i="2"/>
  <c r="H88" i="2"/>
  <c r="H111" i="2"/>
  <c r="H117" i="2"/>
  <c r="E73" i="2"/>
  <c r="E100" i="2"/>
  <c r="H129" i="2"/>
  <c r="G76" i="2"/>
  <c r="E135" i="2"/>
  <c r="E94" i="2"/>
  <c r="E117" i="2"/>
  <c r="G105" i="2"/>
  <c r="I117" i="2"/>
  <c r="E123" i="2"/>
  <c r="H94" i="2"/>
  <c r="I88" i="2"/>
  <c r="E76" i="2"/>
  <c r="H73" i="2"/>
  <c r="I123" i="2"/>
  <c r="G82" i="2"/>
  <c r="I94" i="2"/>
  <c r="H100" i="2"/>
  <c r="H82" i="2"/>
  <c r="E129" i="2"/>
  <c r="G73" i="2"/>
  <c r="I129" i="2"/>
  <c r="I73" i="2"/>
  <c r="H105" i="2"/>
  <c r="G117" i="2"/>
  <c r="E141" i="2"/>
  <c r="G88" i="2"/>
  <c r="E82" i="2"/>
  <c r="I76" i="2"/>
  <c r="H76" i="2"/>
  <c r="G94" i="2"/>
  <c r="H141" i="2"/>
  <c r="G141" i="2"/>
  <c r="I105" i="2"/>
  <c r="E111" i="2"/>
  <c r="G111" i="2"/>
  <c r="E105" i="2"/>
  <c r="G123" i="2"/>
  <c r="I111" i="2"/>
  <c r="H135" i="2"/>
  <c r="L76" i="2" l="1"/>
  <c r="L100" i="2"/>
  <c r="L73" i="2"/>
  <c r="L94" i="2"/>
  <c r="L88" i="2"/>
  <c r="L82" i="2"/>
  <c r="L123" i="2"/>
  <c r="L135" i="2"/>
  <c r="L105" i="2"/>
  <c r="L111" i="2"/>
  <c r="L117" i="2"/>
  <c r="L141" i="2"/>
  <c r="L129" i="2"/>
  <c r="K123" i="2"/>
  <c r="K141" i="2"/>
  <c r="K73" i="2"/>
  <c r="K82" i="2"/>
  <c r="K105" i="2"/>
  <c r="K94" i="2"/>
  <c r="K76" i="2"/>
  <c r="K117" i="2"/>
  <c r="K129" i="2"/>
  <c r="K100" i="2"/>
  <c r="K88" i="2"/>
  <c r="K135" i="2"/>
  <c r="K111" i="2"/>
  <c r="D118" i="2"/>
  <c r="C119" i="2"/>
  <c r="D136" i="2"/>
  <c r="C137" i="2"/>
  <c r="D124" i="2"/>
  <c r="C125" i="2"/>
  <c r="D130" i="2"/>
  <c r="C131" i="2"/>
  <c r="D112" i="2"/>
  <c r="C113" i="2"/>
  <c r="D142" i="2"/>
  <c r="C143" i="2"/>
  <c r="C101" i="2"/>
  <c r="D101" i="2" s="1"/>
  <c r="C89" i="2"/>
  <c r="D89" i="2" s="1"/>
  <c r="C106" i="2"/>
  <c r="C83" i="2"/>
  <c r="D83" i="2" s="1"/>
  <c r="D73" i="2"/>
  <c r="D95" i="2"/>
  <c r="C96" i="2"/>
  <c r="D77" i="2"/>
  <c r="C78" i="2"/>
  <c r="F15" i="1"/>
  <c r="I15" i="1" s="1"/>
  <c r="F16" i="1"/>
  <c r="F17" i="1"/>
  <c r="I17" i="1" s="1"/>
  <c r="F18" i="1"/>
  <c r="F19" i="1"/>
  <c r="F20" i="1"/>
  <c r="F21" i="1"/>
  <c r="F22" i="1"/>
  <c r="F23" i="1"/>
  <c r="I23" i="1" s="1"/>
  <c r="F24" i="1"/>
  <c r="F25" i="1"/>
  <c r="F26" i="1"/>
  <c r="F14" i="1"/>
  <c r="G142" i="2"/>
  <c r="H101" i="2"/>
  <c r="H118" i="2"/>
  <c r="H142" i="2"/>
  <c r="G106" i="2"/>
  <c r="H89" i="2"/>
  <c r="I101" i="2"/>
  <c r="G136" i="2"/>
  <c r="E130" i="2"/>
  <c r="E118" i="2"/>
  <c r="H112" i="2"/>
  <c r="H106" i="2"/>
  <c r="G112" i="2"/>
  <c r="G95" i="2"/>
  <c r="E95" i="2"/>
  <c r="E106" i="2"/>
  <c r="I118" i="2"/>
  <c r="G77" i="2"/>
  <c r="I124" i="2"/>
  <c r="I83" i="2"/>
  <c r="I106" i="2"/>
  <c r="I95" i="2"/>
  <c r="E77" i="2"/>
  <c r="G89" i="2"/>
  <c r="I142" i="2"/>
  <c r="I136" i="2"/>
  <c r="H130" i="2"/>
  <c r="E101" i="2"/>
  <c r="G101" i="2"/>
  <c r="G124" i="2"/>
  <c r="E112" i="2"/>
  <c r="H83" i="2"/>
  <c r="H95" i="2"/>
  <c r="E83" i="2"/>
  <c r="E136" i="2"/>
  <c r="E124" i="2"/>
  <c r="H124" i="2"/>
  <c r="I89" i="2"/>
  <c r="I112" i="2"/>
  <c r="I130" i="2"/>
  <c r="G130" i="2"/>
  <c r="H136" i="2"/>
  <c r="I77" i="2"/>
  <c r="G83" i="2"/>
  <c r="H77" i="2"/>
  <c r="G118" i="2"/>
  <c r="E142" i="2"/>
  <c r="E89" i="2"/>
  <c r="L101" i="2" l="1"/>
  <c r="L136" i="2"/>
  <c r="L89" i="2"/>
  <c r="L130" i="2"/>
  <c r="L106" i="2"/>
  <c r="L118" i="2"/>
  <c r="L83" i="2"/>
  <c r="L124" i="2"/>
  <c r="L142" i="2"/>
  <c r="L77" i="2"/>
  <c r="L95" i="2"/>
  <c r="L112" i="2"/>
  <c r="K106" i="2"/>
  <c r="K95" i="2"/>
  <c r="K118" i="2"/>
  <c r="K142" i="2"/>
  <c r="K112" i="2"/>
  <c r="K101" i="2"/>
  <c r="K89" i="2"/>
  <c r="K130" i="2"/>
  <c r="K124" i="2"/>
  <c r="K77" i="2"/>
  <c r="K136" i="2"/>
  <c r="K83" i="2"/>
  <c r="D143" i="2"/>
  <c r="C144" i="2"/>
  <c r="D131" i="2"/>
  <c r="C132" i="2"/>
  <c r="D137" i="2"/>
  <c r="C138" i="2"/>
  <c r="D113" i="2"/>
  <c r="C114" i="2"/>
  <c r="D125" i="2"/>
  <c r="C126" i="2"/>
  <c r="D119" i="2"/>
  <c r="C120" i="2"/>
  <c r="C90" i="2"/>
  <c r="C91" i="2" s="1"/>
  <c r="C102" i="2"/>
  <c r="C103" i="2" s="1"/>
  <c r="C84" i="2"/>
  <c r="C85" i="2" s="1"/>
  <c r="D106" i="2"/>
  <c r="C107" i="2"/>
  <c r="D78" i="2"/>
  <c r="C79" i="2"/>
  <c r="D96" i="2"/>
  <c r="C97" i="2"/>
  <c r="H22" i="1"/>
  <c r="I22" i="1"/>
  <c r="H21" i="1"/>
  <c r="I21" i="1"/>
  <c r="H20" i="1"/>
  <c r="I20" i="1"/>
  <c r="H19" i="1"/>
  <c r="I19" i="1"/>
  <c r="H18" i="1"/>
  <c r="I18" i="1"/>
  <c r="H16" i="1"/>
  <c r="I16" i="1"/>
  <c r="H14" i="1"/>
  <c r="H27" i="1" s="1"/>
  <c r="I14" i="1"/>
  <c r="H26" i="1"/>
  <c r="I26" i="1"/>
  <c r="H23" i="1"/>
  <c r="H25" i="1"/>
  <c r="I25" i="1"/>
  <c r="H17" i="1"/>
  <c r="H24" i="1"/>
  <c r="I24" i="1"/>
  <c r="H15" i="1"/>
  <c r="G113" i="2"/>
  <c r="I125" i="2"/>
  <c r="H125" i="2"/>
  <c r="E102" i="2"/>
  <c r="I78" i="2"/>
  <c r="I113" i="2"/>
  <c r="I131" i="2"/>
  <c r="H119" i="2"/>
  <c r="E125" i="2"/>
  <c r="E78" i="2"/>
  <c r="E107" i="2"/>
  <c r="E137" i="2"/>
  <c r="G96" i="2"/>
  <c r="I143" i="2"/>
  <c r="G125" i="2"/>
  <c r="I84" i="2"/>
  <c r="H143" i="2"/>
  <c r="E143" i="2"/>
  <c r="H84" i="2"/>
  <c r="G84" i="2"/>
  <c r="G78" i="2"/>
  <c r="I90" i="2"/>
  <c r="G137" i="2"/>
  <c r="H137" i="2"/>
  <c r="E90" i="2"/>
  <c r="H78" i="2"/>
  <c r="E96" i="2"/>
  <c r="H131" i="2"/>
  <c r="E113" i="2"/>
  <c r="G102" i="2"/>
  <c r="H107" i="2"/>
  <c r="G119" i="2"/>
  <c r="I107" i="2"/>
  <c r="I137" i="2"/>
  <c r="G143" i="2"/>
  <c r="H102" i="2"/>
  <c r="I119" i="2"/>
  <c r="H96" i="2"/>
  <c r="I96" i="2"/>
  <c r="E119" i="2"/>
  <c r="I102" i="2"/>
  <c r="G131" i="2"/>
  <c r="H113" i="2"/>
  <c r="E131" i="2"/>
  <c r="G107" i="2"/>
  <c r="G90" i="2"/>
  <c r="E84" i="2"/>
  <c r="H90" i="2"/>
  <c r="L102" i="2" l="1"/>
  <c r="L78" i="2"/>
  <c r="L131" i="2"/>
  <c r="L125" i="2"/>
  <c r="L90" i="2"/>
  <c r="L119" i="2"/>
  <c r="L143" i="2"/>
  <c r="L137" i="2"/>
  <c r="L96" i="2"/>
  <c r="L113" i="2"/>
  <c r="L107" i="2"/>
  <c r="L84" i="2"/>
  <c r="K119" i="2"/>
  <c r="K143" i="2"/>
  <c r="K137" i="2"/>
  <c r="K125" i="2"/>
  <c r="K96" i="2"/>
  <c r="K90" i="2"/>
  <c r="K113" i="2"/>
  <c r="K102" i="2"/>
  <c r="K107" i="2"/>
  <c r="K84" i="2"/>
  <c r="K78" i="2"/>
  <c r="K131" i="2"/>
  <c r="D90" i="2"/>
  <c r="C121" i="2"/>
  <c r="D120" i="2"/>
  <c r="D114" i="2"/>
  <c r="C115" i="2"/>
  <c r="C133" i="2"/>
  <c r="D132" i="2"/>
  <c r="D126" i="2"/>
  <c r="C127" i="2"/>
  <c r="D138" i="2"/>
  <c r="C139" i="2"/>
  <c r="D144" i="2"/>
  <c r="D102" i="2"/>
  <c r="D84" i="2"/>
  <c r="D107" i="2"/>
  <c r="C108" i="2"/>
  <c r="C109" i="2" s="1"/>
  <c r="D85" i="2"/>
  <c r="D97" i="2"/>
  <c r="D91" i="2"/>
  <c r="D79" i="2"/>
  <c r="D103" i="2"/>
  <c r="G108" i="2"/>
  <c r="E126" i="2"/>
  <c r="G91" i="2"/>
  <c r="E97" i="2"/>
  <c r="E120" i="2"/>
  <c r="E144" i="2"/>
  <c r="H97" i="2"/>
  <c r="H120" i="2"/>
  <c r="H85" i="2"/>
  <c r="E85" i="2"/>
  <c r="I91" i="2"/>
  <c r="I97" i="2"/>
  <c r="G144" i="2"/>
  <c r="E132" i="2"/>
  <c r="I132" i="2"/>
  <c r="I108" i="2"/>
  <c r="G85" i="2"/>
  <c r="E79" i="2"/>
  <c r="I120" i="2"/>
  <c r="I126" i="2"/>
  <c r="H91" i="2"/>
  <c r="G97" i="2"/>
  <c r="E138" i="2"/>
  <c r="G79" i="2"/>
  <c r="E91" i="2"/>
  <c r="H108" i="2"/>
  <c r="I103" i="2"/>
  <c r="E114" i="2"/>
  <c r="G132" i="2"/>
  <c r="H138" i="2"/>
  <c r="G126" i="2"/>
  <c r="I138" i="2"/>
  <c r="G120" i="2"/>
  <c r="E108" i="2"/>
  <c r="I114" i="2"/>
  <c r="E103" i="2"/>
  <c r="G114" i="2"/>
  <c r="H126" i="2"/>
  <c r="I79" i="2"/>
  <c r="I144" i="2"/>
  <c r="H144" i="2"/>
  <c r="I85" i="2"/>
  <c r="G138" i="2"/>
  <c r="H132" i="2"/>
  <c r="H114" i="2"/>
  <c r="H103" i="2"/>
  <c r="G103" i="2"/>
  <c r="H79" i="2"/>
  <c r="L144" i="2" l="1"/>
  <c r="L108" i="2"/>
  <c r="L114" i="2"/>
  <c r="L97" i="2"/>
  <c r="L91" i="2"/>
  <c r="L132" i="2"/>
  <c r="L138" i="2"/>
  <c r="L85" i="2"/>
  <c r="L79" i="2"/>
  <c r="L120" i="2"/>
  <c r="L126" i="2"/>
  <c r="L103" i="2"/>
  <c r="K114" i="2"/>
  <c r="K138" i="2"/>
  <c r="K85" i="2"/>
  <c r="K108" i="2"/>
  <c r="K97" i="2"/>
  <c r="K120" i="2"/>
  <c r="K126" i="2"/>
  <c r="K103" i="2"/>
  <c r="K91" i="2"/>
  <c r="K79" i="2"/>
  <c r="K144" i="2"/>
  <c r="K132" i="2"/>
  <c r="D133" i="2"/>
  <c r="D121" i="2"/>
  <c r="D127" i="2"/>
  <c r="D115" i="2"/>
  <c r="D139" i="2"/>
  <c r="D109" i="2"/>
  <c r="D108" i="2"/>
  <c r="H121" i="2"/>
  <c r="I139" i="2"/>
  <c r="G109" i="2"/>
  <c r="E121" i="2"/>
  <c r="I115" i="2"/>
  <c r="I121" i="2"/>
  <c r="E127" i="2"/>
  <c r="H133" i="2"/>
  <c r="E115" i="2"/>
  <c r="E133" i="2"/>
  <c r="E139" i="2"/>
  <c r="H127" i="2"/>
  <c r="E109" i="2"/>
  <c r="G127" i="2"/>
  <c r="H139" i="2"/>
  <c r="I133" i="2"/>
  <c r="I109" i="2"/>
  <c r="G133" i="2"/>
  <c r="G115" i="2"/>
  <c r="G139" i="2"/>
  <c r="I127" i="2"/>
  <c r="H109" i="2"/>
  <c r="H115" i="2"/>
  <c r="G121" i="2"/>
  <c r="L121" i="2" l="1"/>
  <c r="L133" i="2"/>
  <c r="L139" i="2"/>
  <c r="L115" i="2"/>
  <c r="L109" i="2"/>
  <c r="L127" i="2"/>
  <c r="K109" i="2"/>
  <c r="K115" i="2"/>
  <c r="K127" i="2"/>
  <c r="K121" i="2"/>
  <c r="K133" i="2"/>
  <c r="K13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tc={EA0AEDB0-27C1-4F36-B385-809013F3BD3E}</author>
    <author>tc={FF3F4659-CE72-43CE-92CC-BB9E2B5D4572}</author>
    <author>tc={51F67965-A101-45F1-850E-9D5142B47C02}</author>
    <author>tc={100A59DB-70B5-40EF-A1D2-54A7E2F1BA3F}</author>
    <author>tc={7DBF2742-BCD0-4EEB-8BF3-0DACBE6F9E88}</author>
    <author>tc={D7C833AA-6886-4F6C-8535-50C7B9C96C8E}</author>
  </authors>
  <commentList>
    <comment ref="E26" authorId="0" shapeId="0" xr:uid="{EA0AEDB0-27C1-4F36-B385-809013F3BD3E}">
      <text>
        <t>[Threaded comment]
Your version of Excel allows you to read this threaded comment; however, any edits to it will get removed if the file is opened in a newer version of Excel. Learn more: https://go.microsoft.com/fwlink/?linkid=870924
Comment:
    Everything is stored in the left hand bytes of the data section, in little endian, except Decimal which just starts at the reserved section (it's still little endian)</t>
      </text>
    </comment>
    <comment ref="E38" authorId="1" shapeId="0" xr:uid="{FF3F4659-CE72-43CE-92CC-BB9E2B5D4572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2 int btes are overwritten with 03 00, but the other bytes are not</t>
      </text>
    </comment>
    <comment ref="F44" authorId="2" shapeId="0" xr:uid="{51F67965-A101-45F1-850E-9D5142B47C02}">
      <text>
        <t>[Threaded comment]
Your version of Excel allows you to read this threaded comment; however, any edits to it will get removed if the file is opened in a newer version of Excel. Learn more: https://go.microsoft.com/fwlink/?linkid=870924
Comment:
    Long stores in the same way as int so will be missed off the hex diff</t>
      </text>
    </comment>
    <comment ref="E74" authorId="3" shapeId="0" xr:uid="{100A59DB-70B5-40EF-A1D2-54A7E2F1BA3F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little endian objptr(the_thing) - MemoryHex(varptr(objptr(the_thing))</t>
      </text>
    </comment>
    <comment ref="E92" authorId="4" shapeId="0" xr:uid="{7DBF2742-BCD0-4EEB-8BF3-0DACBE6F9E88}">
      <text>
        <t>[Threaded comment]
Your version of Excel allows you to read this threaded comment; however, any edits to it will get removed if the file is opened in a newer version of Excel. Learn more: https://go.microsoft.com/fwlink/?linkid=870924
Comment:
    Pointer to something, still not sure what...</t>
      </text>
    </comment>
    <comment ref="G122" authorId="5" shapeId="0" xr:uid="{D7C833AA-6886-4F6C-8535-50C7B9C96C8E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reserved bytes have not been cleared after the CDec</t>
      </text>
    </comment>
  </commentList>
</comments>
</file>

<file path=xl/sharedStrings.xml><?xml version="1.0" encoding="utf-8"?>
<sst xmlns="http://schemas.openxmlformats.org/spreadsheetml/2006/main" count="686" uniqueCount="286">
  <si>
    <t>CBool function</t>
  </si>
  <si>
    <t>CByte function</t>
  </si>
  <si>
    <t>CCur function</t>
  </si>
  <si>
    <t>CDate function</t>
  </si>
  <si>
    <t>CDec function</t>
  </si>
  <si>
    <t>CDbl function</t>
  </si>
  <si>
    <t>CInt function</t>
  </si>
  <si>
    <t>CLng function</t>
  </si>
  <si>
    <t>CLngLng function</t>
  </si>
  <si>
    <t>CLngPtr function</t>
  </si>
  <si>
    <t>CSng function</t>
  </si>
  <si>
    <t>CStr function</t>
  </si>
  <si>
    <t>CVar function</t>
  </si>
  <si>
    <t>vbInteger</t>
  </si>
  <si>
    <t>vbLong</t>
  </si>
  <si>
    <t>vbSingle</t>
  </si>
  <si>
    <t>vbDouble</t>
  </si>
  <si>
    <t>vbCurrency</t>
  </si>
  <si>
    <t>vbDate</t>
  </si>
  <si>
    <t>vbString</t>
  </si>
  <si>
    <t>vbBoolean</t>
  </si>
  <si>
    <t>vbVariant</t>
  </si>
  <si>
    <t>vbDecimal</t>
  </si>
  <si>
    <t>vbByte</t>
  </si>
  <si>
    <t>vbLongLong</t>
  </si>
  <si>
    <t>vbLongPtr</t>
  </si>
  <si>
    <t>Column1</t>
  </si>
  <si>
    <t>Column2</t>
  </si>
  <si>
    <t>Column3</t>
  </si>
  <si>
    <t>Column4</t>
  </si>
  <si>
    <t>Column5</t>
  </si>
  <si>
    <t>Boolean</t>
  </si>
  <si>
    <t>Hex dump:</t>
  </si>
  <si>
    <t>0B00 0000 0000 0000 FFFF 0000 0000 0000</t>
  </si>
  <si>
    <t>Reserved:</t>
  </si>
  <si>
    <t>00 00 00 00 00 00</t>
  </si>
  <si>
    <t>Data bytes:</t>
  </si>
  <si>
    <t>00 00 00 00 00 00 FF FF</t>
  </si>
  <si>
    <t>VarType:</t>
  </si>
  <si>
    <t>0B00</t>
  </si>
  <si>
    <t>Byte</t>
  </si>
  <si>
    <t>1100 0000 0000 0000 0300 0000 0000 0000</t>
  </si>
  <si>
    <t>00 00 00 00 00 00 00 03</t>
  </si>
  <si>
    <t>Currency</t>
  </si>
  <si>
    <t>0600 0000 0000 0000 F77A 0000 0000 0000</t>
  </si>
  <si>
    <t>00 00 00 00 00 00 7A F7</t>
  </si>
  <si>
    <t>Date</t>
  </si>
  <si>
    <t>0700 0000 0000 0000 9CE0 9BA6 CF2E 0940</t>
  </si>
  <si>
    <t>40 09 2E CF A6 9B E0 9C</t>
  </si>
  <si>
    <t>Decimal</t>
  </si>
  <si>
    <t>0E00 0600 0000 0000 5108 3000 0000 0000</t>
  </si>
  <si>
    <t>00 00 00 00 00 06</t>
  </si>
  <si>
    <t>00 00 00 00 00 30 08 51</t>
  </si>
  <si>
    <t>Double</t>
  </si>
  <si>
    <t>0500 0000 0000 0000 9CE0 9BA6 CF2E 0940</t>
  </si>
  <si>
    <t>Integer</t>
  </si>
  <si>
    <t>0200 0000 0000 0000 0300 9BA6 CF2E 0940</t>
  </si>
  <si>
    <t>40 09 2E CF A6 9B 00 03</t>
  </si>
  <si>
    <t>Long</t>
  </si>
  <si>
    <t>0300 0000 0000 0000 0300 0000 CF2E 0940</t>
  </si>
  <si>
    <t>40 09 2E CF 00 00 00 03</t>
  </si>
  <si>
    <t>Single</t>
  </si>
  <si>
    <t>0400 0000 0000 0000 7D76 4940 CF2E 0940</t>
  </si>
  <si>
    <t>40 09 2E CF 40 49 76 7D</t>
  </si>
  <si>
    <t>String</t>
  </si>
  <si>
    <t>0800 0000 0000 0000 F459 4722 CF2E 0940</t>
  </si>
  <si>
    <t>40 09 2E CF 22 47 59 F4</t>
  </si>
  <si>
    <t>True</t>
  </si>
  <si>
    <t>3</t>
  </si>
  <si>
    <t>1100</t>
  </si>
  <si>
    <t>3.1479</t>
  </si>
  <si>
    <t>0600</t>
  </si>
  <si>
    <t>02/01/1900 03:32:55</t>
  </si>
  <si>
    <t>0700</t>
  </si>
  <si>
    <t>3.147857</t>
  </si>
  <si>
    <t>0E00</t>
  </si>
  <si>
    <t>0500</t>
  </si>
  <si>
    <t>0200</t>
  </si>
  <si>
    <t>0300</t>
  </si>
  <si>
    <t>0400</t>
  </si>
  <si>
    <t>0800</t>
  </si>
  <si>
    <t>Titel</t>
  </si>
  <si>
    <t>Values</t>
  </si>
  <si>
    <t>Value</t>
  </si>
  <si>
    <t>Type</t>
  </si>
  <si>
    <t>Application</t>
  </si>
  <si>
    <t>Microsoft Excel</t>
  </si>
  <si>
    <t>0900 0000 0000 0000 982E 9914 0000 0000</t>
  </si>
  <si>
    <t>00 00 00 00 14 99 2E 98</t>
  </si>
  <si>
    <t>0900</t>
  </si>
  <si>
    <t>Collection</t>
  </si>
  <si>
    <t>0900 0000 0000 0000 D8F9 AE3A 0000 0000</t>
  </si>
  <si>
    <t>00 00 00 00 3A AE F9 D8</t>
  </si>
  <si>
    <t>0900 0000 0000 0000 5804 AF3A 0000 0000</t>
  </si>
  <si>
    <t>00 00 00 00 3A AF 04 58</t>
  </si>
  <si>
    <t>Variant()</t>
  </si>
  <si>
    <t>0C20 0000 0000 0000 78A6 CF3A 0000 0000</t>
  </si>
  <si>
    <t>00 00 00 00 3A CF A6 78</t>
  </si>
  <si>
    <t>0C20</t>
  </si>
  <si>
    <t>Double()</t>
  </si>
  <si>
    <t>0560 0000 0000 0000 68EB 4F03 0000 0000</t>
  </si>
  <si>
    <t>00 00 00 00 03 4F EB 68</t>
  </si>
  <si>
    <t>0560</t>
  </si>
  <si>
    <t>Integer()</t>
  </si>
  <si>
    <t>0260 0000 0000 0000 6CEB 4F03 0000 0000</t>
  </si>
  <si>
    <t>00 00 00 00 03 4F EB 6C</t>
  </si>
  <si>
    <t>0260</t>
  </si>
  <si>
    <t>Filter</t>
  </si>
  <si>
    <t>110505332448475000000000</t>
  </si>
  <si>
    <t>0E00 0000 6617 0000 00CE 8247 8B2B 8E81</t>
  </si>
  <si>
    <t>00 00 17 66 00 00</t>
  </si>
  <si>
    <t>81 8E 2B 8B 47 82 CE 00</t>
  </si>
  <si>
    <t>1.10505332448475E+23</t>
  </si>
  <si>
    <t>0500 0000 6617 0000 338B 2B8E 8166 B744</t>
  </si>
  <si>
    <t>44 B7 66 81 8E 2B 8B 33</t>
  </si>
  <si>
    <t>1.105053E+23</t>
  </si>
  <si>
    <t>0400 0000 6617 0000 0C34 BB65 8166 B744</t>
  </si>
  <si>
    <t>44 B7 66 81 65 BB 34 0C</t>
  </si>
  <si>
    <t>0800 0000 6617 0000 FC83 7C40 8166 B744</t>
  </si>
  <si>
    <t>44 B7 66 81 40 7C 83 FC</t>
  </si>
  <si>
    <t>0500 0000 0000 0000 338B 2B8E 8166 B744</t>
  </si>
  <si>
    <t>Double2</t>
  </si>
  <si>
    <t>Single2</t>
  </si>
  <si>
    <t>String2</t>
  </si>
  <si>
    <t>DoubleVar</t>
  </si>
  <si>
    <t>DoubleVar2</t>
  </si>
  <si>
    <t>LongPtr</t>
  </si>
  <si>
    <t>CollectionNEW</t>
  </si>
  <si>
    <t>Boolean2</t>
  </si>
  <si>
    <t>Decimal2</t>
  </si>
  <si>
    <t>HexDiff</t>
  </si>
  <si>
    <t>0000 0000 0000 0000 0000 0000 0000 0000</t>
  </si>
  <si>
    <t>0200 0000 0000 0000 0300 0000 0000 0000</t>
  </si>
  <si>
    <t>0300 0000 0000 0000 0000 0000 0000 0000</t>
  </si>
  <si>
    <t>0400 0000 0000 0000 7D76 4940 0000 0000</t>
  </si>
  <si>
    <t>0800 0000 0000 0000 F459 0722 0000 0000</t>
  </si>
  <si>
    <t>0500 0000 0000 0000 9CE0 9BA6 0000 0000</t>
  </si>
  <si>
    <t>0900 0000 0000 0000 082E 0914 0000 0000</t>
  </si>
  <si>
    <t>0000 0000 0000 0000 D0F9 AE3A 0000 0000</t>
  </si>
  <si>
    <t>0000 0000 0000 0000 5004 0F00 0000 0000</t>
  </si>
  <si>
    <t>0C20 0000 0000 0000 70A6 C000 0000 0000</t>
  </si>
  <si>
    <t>0560 0000 0000 0000 60EB 4003 0000 0000</t>
  </si>
  <si>
    <t>0200 0000 0000 0000 0C00 0000 0000 0000</t>
  </si>
  <si>
    <t>0500 0000 0000 0000 338B 2B8E 0166 B744</t>
  </si>
  <si>
    <t>0400 0000 0000 0000 0C34 B065 0000 0000</t>
  </si>
  <si>
    <t>0800 0000 0000 0000 F083 7C40 0000 0000</t>
  </si>
  <si>
    <t>0500 0000 0000 0000 330B 2B8E 0000 0000</t>
  </si>
  <si>
    <t>   VT_EMPTY = 0x0000,</t>
  </si>
  <si>
    <t>   VT_NULL = 0x0001,</t>
  </si>
  <si>
    <t>   VT_I2 = 0x0002,</t>
  </si>
  <si>
    <t>   VT_I4 = 0x0003,</t>
  </si>
  <si>
    <t>   VT_R4 = 0x0004,</t>
  </si>
  <si>
    <t>   VT_R8 = 0x0005,</t>
  </si>
  <si>
    <t>   VT_CY = 0x0006,</t>
  </si>
  <si>
    <t>   VT_DATE = 0x0007,</t>
  </si>
  <si>
    <t>   VT_BSTR = 0x0008,</t>
  </si>
  <si>
    <t>   VT_DISPATCH = 0x0009,</t>
  </si>
  <si>
    <t>   VT_ERROR = 0x000A,</t>
  </si>
  <si>
    <t>   VT_BOOL = 0x000B,</t>
  </si>
  <si>
    <t>   VT_VARIANT = 0x000C,</t>
  </si>
  <si>
    <t>   VT_UNKNOWN = 0x000D,</t>
  </si>
  <si>
    <t>   VT_DECIMAL = 0x000E,</t>
  </si>
  <si>
    <t>   VT_I1 = 0x0010,</t>
  </si>
  <si>
    <t>   VT_UI1 = 0x0011,</t>
  </si>
  <si>
    <t>   VT_UI2 = 0x0012,</t>
  </si>
  <si>
    <t>   VT_UI4 = 0x0013,</t>
  </si>
  <si>
    <t>   VT_I8 = 0x0014,</t>
  </si>
  <si>
    <t>   VT_UI8 = 0x0015,</t>
  </si>
  <si>
    <t>   VT_INT = 0x0016,</t>
  </si>
  <si>
    <t>   VT_UINT = 0x0017,</t>
  </si>
  <si>
    <t>   VT_VOID = 0x0018,</t>
  </si>
  <si>
    <t>   VT_HRESULT = 0x0019,</t>
  </si>
  <si>
    <t>   VT_PTR = 0x001A,</t>
  </si>
  <si>
    <t>   VT_SAFEARRAY = 0x001B,</t>
  </si>
  <si>
    <t>   VT_CARRAY = 0x001C,</t>
  </si>
  <si>
    <t>   VT_USERDEFINED = 0x001D,</t>
  </si>
  <si>
    <t>   VT_LPSTR = 0x001E,</t>
  </si>
  <si>
    <t>   VT_LPWSTR = 0x001F,</t>
  </si>
  <si>
    <t>   VT_RECORD = 0x0024,</t>
  </si>
  <si>
    <t>   VT_INT_PTR = 0x0025,</t>
  </si>
  <si>
    <t>   VT_UINT_PTR = 0x0026,</t>
  </si>
  <si>
    <t>   VT_ARRAY = 0x2000,</t>
  </si>
  <si>
    <t>Raw</t>
  </si>
  <si>
    <t>Name</t>
  </si>
  <si>
    <t>HexVal</t>
  </si>
  <si>
    <t>   VT_BYREF = 0x4000,</t>
  </si>
  <si>
    <t>Is ByRef</t>
  </si>
  <si>
    <t>Decl</t>
  </si>
  <si>
    <t>TypeDecl</t>
  </si>
  <si>
    <t>Memory</t>
  </si>
  <si>
    <t>Info</t>
  </si>
  <si>
    <t>Class Name</t>
  </si>
  <si>
    <t>Type Name</t>
  </si>
  <si>
    <t>Signature</t>
  </si>
  <si>
    <t>Public Function Create({0}) As {1}
    With New {1}
        Set Create = .Self
        .Init {2}
    End With
End Function
Friend Property Get Self() As {1}
    Set Self = Me
End Property
Friend Sub Init({0})
{3}
End Sub</t>
  </si>
  <si>
    <t>AssignDecl</t>
  </si>
  <si>
    <t>Private Type {0}
{1}
End Type
Private this As {0}</t>
  </si>
  <si>
    <t>Public Enum {0}
{1}
End Enum</t>
  </si>
  <si>
    <t>Variable</t>
  </si>
  <si>
    <t>VariableDefinition</t>
  </si>
  <si>
    <t>memoryBlock</t>
  </si>
  <si>
    <t>flags</t>
  </si>
  <si>
    <t>VARKIND</t>
  </si>
  <si>
    <t>IsObject</t>
  </si>
  <si>
    <t>VARIANT</t>
  </si>
  <si>
    <t>TYPEDESC</t>
  </si>
  <si>
    <t>Property set</t>
  </si>
  <si>
    <t>Safe array</t>
  </si>
  <si>
    <t>VT_ARRAY</t>
  </si>
  <si>
    <t>X</t>
  </si>
  <si>
    <t>VT_BLOB</t>
  </si>
  <si>
    <t>VT_BLOB_OBJECT</t>
  </si>
  <si>
    <t>VT_BOOL</t>
  </si>
  <si>
    <t>VT_BSTR</t>
  </si>
  <si>
    <t>VT_BSTR_BLOB</t>
  </si>
  <si>
    <t>VT_BYREF</t>
  </si>
  <si>
    <t>VT_CARRAY</t>
  </si>
  <si>
    <t>VT_CF</t>
  </si>
  <si>
    <t>VT_CLSID</t>
  </si>
  <si>
    <t>VT_CY</t>
  </si>
  <si>
    <t>VT_DATE</t>
  </si>
  <si>
    <t>VT_DECIMAL</t>
  </si>
  <si>
    <t>VT_DISPATCH</t>
  </si>
  <si>
    <t>VT_EMPTY</t>
  </si>
  <si>
    <t>VT_ERROR</t>
  </si>
  <si>
    <t>VT_FILETIME</t>
  </si>
  <si>
    <t>VT_HRESULT</t>
  </si>
  <si>
    <t>VT_I1</t>
  </si>
  <si>
    <t>VT_I2</t>
  </si>
  <si>
    <t>VT_I4</t>
  </si>
  <si>
    <t>VT_I8</t>
  </si>
  <si>
    <t>VT_INT</t>
  </si>
  <si>
    <t>VT_INT_PTR</t>
  </si>
  <si>
    <t>VT_LPSTR</t>
  </si>
  <si>
    <t>VT_LPWSTR</t>
  </si>
  <si>
    <t>VT_NULL</t>
  </si>
  <si>
    <t>VT_PTR</t>
  </si>
  <si>
    <t>VT_R4</t>
  </si>
  <si>
    <t>VT_R8</t>
  </si>
  <si>
    <t>VT_RECORD</t>
  </si>
  <si>
    <t>VT_SAFEARRAY</t>
  </si>
  <si>
    <t>VT_STORAGE</t>
  </si>
  <si>
    <t>VT_STORED_OBJECT</t>
  </si>
  <si>
    <t>VT_STREAM</t>
  </si>
  <si>
    <t>VT_STREAMED_OBJECT</t>
  </si>
  <si>
    <t>VT_UI1</t>
  </si>
  <si>
    <t>VT_UI2</t>
  </si>
  <si>
    <t>VT_UI4</t>
  </si>
  <si>
    <t>VT_UI8</t>
  </si>
  <si>
    <t>VT_UINT</t>
  </si>
  <si>
    <t>VT_UINT_PTR</t>
  </si>
  <si>
    <t>VT_UNKNOWN</t>
  </si>
  <si>
    <t>VT_USERDEFINED</t>
  </si>
  <si>
    <t>VT_VARIANT</t>
  </si>
  <si>
    <t>VT_VECTOR</t>
  </si>
  <si>
    <t>VT_VERSIONED_STREAM</t>
  </si>
  <si>
    <t>VT_VOID</t>
  </si>
  <si>
    <t>Allowed?</t>
  </si>
  <si>
    <t>vbEmpty</t>
  </si>
  <si>
    <t>Empty (uninitialized)</t>
  </si>
  <si>
    <t>vbNull</t>
  </si>
  <si>
    <t>Null (no valid data)</t>
  </si>
  <si>
    <t>Long integer</t>
  </si>
  <si>
    <t>Single-precision floating-point number</t>
  </si>
  <si>
    <t>Double-precision floating-point number</t>
  </si>
  <si>
    <t>Currency value</t>
  </si>
  <si>
    <t>Date value</t>
  </si>
  <si>
    <t>vbObject</t>
  </si>
  <si>
    <t>Object</t>
  </si>
  <si>
    <t>vbError</t>
  </si>
  <si>
    <t>Error value</t>
  </si>
  <si>
    <t>Boolean value</t>
  </si>
  <si>
    <t>Variant (used only with arrays of variants)</t>
  </si>
  <si>
    <t>vbDataObject</t>
  </si>
  <si>
    <t>A data access object</t>
  </si>
  <si>
    <t>Decimal value</t>
  </si>
  <si>
    <t>Byte value</t>
  </si>
  <si>
    <t>LongLong integer (valid on 64-bit platforms only)</t>
  </si>
  <si>
    <t>vbUserDefinedType</t>
  </si>
  <si>
    <t>Variants that contain user-defined types</t>
  </si>
  <si>
    <t>vbArray</t>
  </si>
  <si>
    <t>Array (always added to another constant when returned by this function)</t>
  </si>
  <si>
    <t>Num</t>
  </si>
  <si>
    <t>Desc</t>
  </si>
  <si>
    <t>Hex</t>
  </si>
  <si>
    <t>Corresponding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</si>
</sst>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7">
    <xf numFmtId="0" fontId="0" fillId="0" borderId="0" xfId="0"/>
    <xf numFmtId="0" fontId="0" fillId="0" borderId="0" xfId="0" applyNumberFormat="1"/>
    <xf numFmtId="14" fontId="0" fillId="0" borderId="0" xfId="0" applyNumberFormat="1"/>
    <xf numFmtId="49" fontId="0" fillId="0" borderId="0" xfId="0" applyNumberFormat="1"/>
    <xf numFmtId="0" fontId="2" fillId="2" borderId="0" xfId="1" applyNumberFormat="1"/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</cellXfs>
  <cellStyles count="2">
    <cellStyle name="Good" xfId="1" builtinId="26"/>
    <cellStyle name="Normal" xfId="0" builtinId="0"/>
  </cellStyles>
  <dxfs count="3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Guy Hall" id="{FBCCAC64-1FF7-485E-972C-FAE73EB6D566}" userId="64a22c0c5ea69fee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49CC814-B3EE-401C-9D61-700BDC96F911}" name="Table1" displayName="Table1" ref="E13:I27" totalsRowCount="1">
  <autoFilter ref="E13:I26" xr:uid="{F7CD028E-CB7C-4BC4-8C8D-9311F182780F}"/>
  <tableColumns count="5">
    <tableColumn id="1" xr3:uid="{16616245-48C3-4401-B666-3A131CA3D964}" name="Column1"/>
    <tableColumn id="2" xr3:uid="{541BD379-087B-4EB5-BD60-F9B2419BC807}" name="Column2">
      <calculatedColumnFormula>MID(E14,1,LEN(E14)-9)</calculatedColumnFormula>
    </tableColumn>
    <tableColumn id="3" xr3:uid="{29E19DAF-AA55-41DF-8B61-90301FA495DD}" name="Column3"/>
    <tableColumn id="4" xr3:uid="{A2DF71B1-4FF0-4037-9E9E-D5257CB0E656}" name="Column4" totalsRowFunction="custom" dataDxfId="33" totalsRowDxfId="32">
      <calculatedColumnFormula>_xlfn.TEXTJOIN(CHAR(13),TRUE,"Case " &amp;Table1[[#This Row],[Column3]],"CType = "&amp;Table1[[#This Row],[Column2]]&amp;"(expression)")</calculatedColumnFormula>
      <totalsRowFormula>_xlfn.TEXTJOIN(CHAR(13),TRUE,Table1[Column4])</totalsRowFormula>
    </tableColumn>
    <tableColumn id="5" xr3:uid="{42899DB6-7049-4874-826F-516C957F3A37}" name="Column5" totalsRowFunction="custom" dataDxfId="31">
      <calculatedColumnFormula>"printOutVariantInfo "&amp;Table1[[#This Row],[Column2]]&amp;"(testValue)"</calculatedColumnFormula>
      <totalsRowFormula>_xlfn.TEXTJOIN(CHAR(13),TRUE, Table1[Column5])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BB3D49-6527-4736-B2A3-B922C7254160}" name="Table2" displayName="Table2" ref="A1:L144" totalsRowShown="0" headerRowDxfId="30">
  <autoFilter ref="A1:L144" xr:uid="{6430FED8-CBCD-4B86-AAE3-F10A0752EAD1}">
    <filterColumn colId="9">
      <filters>
        <filter val="TRUE"/>
      </filters>
    </filterColumn>
  </autoFilter>
  <tableColumns count="12">
    <tableColumn id="1" xr3:uid="{07D219E8-E978-4895-800E-23EEA18A3408}" name="Titel" dataDxfId="29"/>
    <tableColumn id="2" xr3:uid="{399C0F1E-1928-4D1F-A139-0A4303C3F4CE}" name="Values" dataDxfId="28"/>
    <tableColumn id="3" xr3:uid="{E1D53722-0864-4528-B761-6F5801FA7BC2}" name="Type" dataDxfId="27">
      <calculatedColumnFormula>IF(MOD(ROW(),6 )= 2,Table2[[#This Row],[Titel]],C1)</calculatedColumnFormula>
    </tableColumn>
    <tableColumn id="4" xr3:uid="{CE6AACD6-7FF0-4FDD-ACEA-8712828D8886}" name="Value" dataDxfId="26">
      <calculatedColumnFormula>VLOOKUP(Table2[[#This Row],[Type]],Table2[[Titel]:[Values]],2,FALSE)</calculatedColumnFormula>
    </tableColumn>
    <tableColumn id="5" xr3:uid="{EFD10271-46C5-4151-AC72-3B97520CDD2F}" name="Hex dump:" dataDxfId="25">
      <calculatedColumnFormula>OFFSET(INDIRECT(ADDRESS(MATCH(Table2[[#This Row],[Type]],Table2[Titel],0),2)),2,0)</calculatedColumnFormula>
    </tableColumn>
    <tableColumn id="10" xr3:uid="{83D48A84-3574-45A4-A226-B6D115175326}" name="HexDiff" dataDxfId="24"/>
    <tableColumn id="6" xr3:uid="{EFE1F869-47FA-443E-B100-EBE76AEDA991}" name="Reserved:" dataDxfId="23">
      <calculatedColumnFormula>OFFSET(INDIRECT(ADDRESS(MATCH(Table2[[#This Row],[Type]],Table2[Titel],0),2)),3,0)</calculatedColumnFormula>
    </tableColumn>
    <tableColumn id="7" xr3:uid="{1F1D7F66-DE5B-4574-808E-2E8A36566772}" name="Data bytes:" dataDxfId="22">
      <calculatedColumnFormula>OFFSET(INDIRECT(ADDRESS(MATCH(Table2[[#This Row],[Type]],Table2[Titel],0),2)),4,0)</calculatedColumnFormula>
    </tableColumn>
    <tableColumn id="8" xr3:uid="{91C1A7C9-83CE-466F-992D-18E94302B1B7}" name="VarType:" dataDxfId="21">
      <calculatedColumnFormula>OFFSET(INDIRECT(ADDRESS(MATCH(Table2[[#This Row],[Type]],Table2[Titel],0),2)),5,0)</calculatedColumnFormula>
    </tableColumn>
    <tableColumn id="9" xr3:uid="{2F5E8FE2-7F6B-4F12-87F5-C7E75EEEF97C}" name="Filter" dataDxfId="20">
      <calculatedColumnFormula>MOD(ROW(),6) = 2</calculatedColumnFormula>
    </tableColumn>
    <tableColumn id="11" xr3:uid="{EB551291-2328-4D7A-86C4-678F3A8E65C8}" name="Column1" dataDxfId="19">
      <calculatedColumnFormula>LEFT(Table2[[#This Row],[VarType:]],2)</calculatedColumnFormula>
    </tableColumn>
    <tableColumn id="12" xr3:uid="{065D01E5-49D1-4E85-862B-756646628AFF}" name="Is ByRef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DC568A-5E4C-438B-B09F-646EE83C23B7}" name="Params" displayName="Params" ref="D1:I4" totalsRowCount="1">
  <autoFilter ref="D1:I3" xr:uid="{24C57760-73BF-4793-ADE5-E0D9E993056F}"/>
  <tableColumns count="6">
    <tableColumn id="1" xr3:uid="{B372BBDD-E091-43C0-AD2C-AED37C506608}" name="Name" totalsRowFunction="custom" totalsRowDxfId="17">
      <totalsRowFormula>_xlfn.TEXTJOIN(", ",TRUE,Params[Name])</totalsRowFormula>
    </tableColumn>
    <tableColumn id="2" xr3:uid="{5D5AABE4-AB6B-4994-936A-D713005CF90D}" name="Type"/>
    <tableColumn id="6" xr3:uid="{00205598-5C55-4271-A3B0-0B6585E3AAED}" name="IsObject"/>
    <tableColumn id="3" xr3:uid="{FDDFAE46-74E0-4B82-A354-880A7858FADC}" name="TypeDecl" totalsRowFunction="custom" dataDxfId="16" totalsRowDxfId="15">
      <calculatedColumnFormula>FORMATPY("\t{0} As {1}",Params[[#This Row],[Name]],Params[[#This Row],[Type]])</calculatedColumnFormula>
      <totalsRowFormula>_xlfn.TEXTJOIN(CHAR(13),TRUE,Params[TypeDecl])</totalsRowFormula>
    </tableColumn>
    <tableColumn id="4" xr3:uid="{B49E622D-D230-47B0-8EC1-F27A543445E8}" name="Signature" totalsRowFunction="custom" dataDxfId="14" totalsRowDxfId="13">
      <calculatedColumnFormula>FORMATPY("ByVal {0} As {1}",Params[[#This Row],[Name]],Params[[#This Row],[Type]])</calculatedColumnFormula>
      <totalsRowFormula>_xlfn.TEXTJOIN(", ",TRUE,Params[Signature])</totalsRowFormula>
    </tableColumn>
    <tableColumn id="5" xr3:uid="{98C52602-17E5-452D-A0D6-EE8ED5F4E805}" name="AssignDecl" totalsRowFunction="custom" dataDxfId="12" totalsRowDxfId="11">
      <calculatedColumnFormula>FORMATPY("\t{1}this.{0} = {0}",Params[[#This Row],[Name]],IF(Params[[#This Row],[IsObject]],"Set ",""))</calculatedColumnFormula>
      <totalsRowFormula>_xlfn.TEXTJOIN(CHAR(13),TRUE,Params[AssignDecl])</totalsRow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363D4E4-56F5-4A68-BF67-4142743E6380}" name="ClassDef" displayName="ClassDef" ref="A1:B3" totalsRowShown="0">
  <autoFilter ref="A1:B3" xr:uid="{165AE171-AA54-474E-ACAF-B04F26EF224D}"/>
  <tableColumns count="2">
    <tableColumn id="1" xr3:uid="{13509F1E-A684-4919-9D52-0A8151CE0E1F}" name="Info"/>
    <tableColumn id="2" xr3:uid="{017D873D-EA91-4DA1-8605-2239170340E5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5E1B0-0C28-4F39-ADF4-6F30B6520DC4}" name="Table3" displayName="Table3" ref="A1:G38" totalsRowCount="1">
  <autoFilter ref="A1:G37" xr:uid="{32C4DA2A-A9DD-4D29-919E-4B0B2E8813DD}"/>
  <tableColumns count="7">
    <tableColumn id="1" xr3:uid="{2520D888-C6F8-42BC-9CBD-77E53E014DCE}" name="Raw"/>
    <tableColumn id="2" xr3:uid="{C06B1740-9909-4E3F-ADF0-51A7EAE0EEC4}" name="Name" dataDxfId="10" totalsRowDxfId="9"/>
    <tableColumn id="3" xr3:uid="{01525533-F763-4B7D-9B18-7BC7D385CA50}" name="HexVal" dataDxfId="8" totalsRowDxfId="7"/>
    <tableColumn id="5" xr3:uid="{2F9844C7-0C72-431D-BAD0-29C1FF79B76C}" name="Column1" dataDxfId="6" totalsRowDxfId="5"/>
    <tableColumn id="4" xr3:uid="{3CADBBAF-D258-4C3F-9B33-1B9EB092C106}" name="Decl" totalsRowFunction="custom" dataDxfId="4" totalsRowDxfId="3">
      <calculatedColumnFormula>FORMATPY("\t{2}VT_{0} = &amp;H{1}{3}",Table3[[#This Row],[Name]],Table3[[#This Row],[HexVal]],IF(Table3[Allowed?]="X","","'"),IF(Table3[[#This Row],[Corresponding]]="","","'"&amp;Table3[[#This Row],[Corresponding]]))</calculatedColumnFormula>
      <totalsRowFormula>_xlfn.TEXTJOIN(CHAR(13),TRUE,Table3[Decl])</totalsRowFormula>
    </tableColumn>
    <tableColumn id="6" xr3:uid="{4D684D81-5923-47A5-832D-A06A7D0B3866}" name="Allowed?" dataDxfId="2">
      <calculatedColumnFormula>VLOOKUP("VT_"&amp;Table3[[#This Row],[Name]],Table27[],2,FALSE)</calculatedColumnFormula>
    </tableColumn>
    <tableColumn id="7" xr3:uid="{15F731B4-AA1F-4AAE-A4C5-2C1B7DB3BB6E}" name="Corresponding" dataDxfId="1">
      <calculatedColumnFormula>IFERROR(INDEX(Table7[Value],MATCH(Table3[[#This Row],[HexVal]],Table7[Hex],0)),"")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E6E6F1-F133-426B-A8B6-642D888BBD82}" name="Table27" displayName="Table27" ref="M1:Q49" totalsRowShown="0">
  <autoFilter ref="M1:Q49" xr:uid="{2A828F65-5826-451C-A019-B3F5C2C0D7F5}"/>
  <tableColumns count="5">
    <tableColumn id="1" xr3:uid="{A6897965-D954-46F4-986D-F06D25DB30C6}" name="Value"/>
    <tableColumn id="2" xr3:uid="{D122D8C7-839A-420A-BF00-92122A377FF6}" name="VARIANT"/>
    <tableColumn id="3" xr3:uid="{0AE6EC18-D17C-4329-89EB-0EBB46927735}" name="TYPEDESC"/>
    <tableColumn id="4" xr3:uid="{E6FAEB9B-4352-4A4E-85CD-7A75751B6CF2}" name="Property set"/>
    <tableColumn id="5" xr3:uid="{42456A58-3B3E-4BF0-BD4B-4CFC478BC65E}" name="Safe array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A960636-E7A2-4207-9167-6C12A0157D0E}" name="Table7" displayName="Table7" ref="T1:W20" totalsRowShown="0">
  <autoFilter ref="T1:W20" xr:uid="{6CD33788-C420-4A72-B858-A98819F72889}"/>
  <tableColumns count="4">
    <tableColumn id="1" xr3:uid="{86D0CBF2-E217-497F-8938-55E96DDF749E}" name="Value"/>
    <tableColumn id="2" xr3:uid="{07B11ED8-6170-48F3-A0C5-D06AE4C5D8C7}" name="Num"/>
    <tableColumn id="3" xr3:uid="{BA8B17D6-C980-4FA0-B981-A88926FF421B}" name="Desc"/>
    <tableColumn id="4" xr3:uid="{BDA42A19-D2BE-4247-BC28-80827E9FEBD3}" name="Hex" dataDxfId="0">
      <calculatedColumnFormula>DEC2HEX(Table7[[#This Row],[Num]],4)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6" dT="2020-01-27T17:01:39.52" personId="{FBCCAC64-1FF7-485E-972C-FAE73EB6D566}" id="{EA0AEDB0-27C1-4F36-B385-809013F3BD3E}">
    <text>Everything is stored in the left hand bytes of the data section, in little endian, except Decimal which just starts at the reserved section (it's still little endian)</text>
  </threadedComment>
  <threadedComment ref="E38" dT="2020-01-26T19:40:23.06" personId="{FBCCAC64-1FF7-485E-972C-FAE73EB6D566}" id="{FF3F4659-CE72-43CE-92CC-BB9E2B5D4572}">
    <text>The 2 int btes are overwritten with 03 00, but the other bytes are not</text>
  </threadedComment>
  <threadedComment ref="F44" dT="2020-01-26T19:57:05.67" personId="{FBCCAC64-1FF7-485E-972C-FAE73EB6D566}" id="{51F67965-A101-45F1-850E-9D5142B47C02}">
    <text>Long stores in the same way as int so will be missed off the hex diff</text>
  </threadedComment>
  <threadedComment ref="E74" dT="2020-01-27T17:18:29.22" personId="{FBCCAC64-1FF7-485E-972C-FAE73EB6D566}" id="{100A59DB-70B5-40EF-A1D2-54A7E2F1BA3F}">
    <text>Just little endian objptr(the_thing) - MemoryHex(varptr(objptr(the_thing))</text>
  </threadedComment>
  <threadedComment ref="E92" dT="2020-01-30T12:35:50.15" personId="{FBCCAC64-1FF7-485E-972C-FAE73EB6D566}" id="{7DBF2742-BCD0-4EEB-8BF3-0DACBE6F9E88}">
    <text>Pointer to something, still not sure what...</text>
  </threadedComment>
  <threadedComment ref="G122" dT="2020-01-26T19:37:46.64" personId="{FBCCAC64-1FF7-485E-972C-FAE73EB6D566}" id="{D7C833AA-6886-4F6C-8535-50C7B9C96C8E}">
    <text>The reserved bytes have not been cleared after the CDec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7BD99-A510-4B9B-BCAF-26FD175A0226}">
  <sheetPr codeName="Sheet11"/>
  <dimension ref="E7:L27"/>
  <sheetViews>
    <sheetView zoomScale="90" workbookViewId="0">
      <selection activeCell="I15" sqref="I15"/>
    </sheetView>
  </sheetViews>
  <sheetFormatPr defaultRowHeight="14.4" x14ac:dyDescent="0.55000000000000004"/>
  <cols>
    <col min="1" max="1" width="11.47265625" bestFit="1" customWidth="1"/>
    <col min="5" max="7" width="9.68359375" customWidth="1"/>
    <col min="12" max="12" width="10.20703125" bestFit="1" customWidth="1"/>
  </cols>
  <sheetData>
    <row r="7" spans="5:12" x14ac:dyDescent="0.55000000000000004">
      <c r="L7" s="2">
        <v>43670</v>
      </c>
    </row>
    <row r="8" spans="5:12" x14ac:dyDescent="0.55000000000000004">
      <c r="L8" s="2">
        <v>43722</v>
      </c>
    </row>
    <row r="9" spans="5:12" x14ac:dyDescent="0.55000000000000004">
      <c r="L9" s="2">
        <f>AVERAGE(L7:L8)</f>
        <v>43696</v>
      </c>
    </row>
    <row r="13" spans="5:12" x14ac:dyDescent="0.55000000000000004">
      <c r="E13" t="s">
        <v>26</v>
      </c>
      <c r="F13" t="s">
        <v>27</v>
      </c>
      <c r="G13" t="s">
        <v>28</v>
      </c>
      <c r="H13" t="s">
        <v>29</v>
      </c>
      <c r="I13" t="s">
        <v>30</v>
      </c>
    </row>
    <row r="14" spans="5:12" x14ac:dyDescent="0.55000000000000004">
      <c r="E14" t="s">
        <v>0</v>
      </c>
      <c r="F14" t="str">
        <f>MID(E14,1,LEN(E14)-9)</f>
        <v>CBool</v>
      </c>
      <c r="G14" t="s">
        <v>20</v>
      </c>
      <c r="H14" t="str">
        <f>_xlfn.TEXTJOIN(CHAR(13),TRUE,"Case " &amp;Table1[[#This Row],[Column3]],"CType = "&amp;Table1[[#This Row],[Column2]]&amp;"(expression)")</f>
        <v>Case vbBoolean_x000D_CType = CBool(expression)</v>
      </c>
      <c r="I14" t="str">
        <f>"printOutVariantInfo "&amp;Table1[[#This Row],[Column2]]&amp;"(testValue)"</f>
        <v>printOutVariantInfo CBool(testValue)</v>
      </c>
    </row>
    <row r="15" spans="5:12" x14ac:dyDescent="0.55000000000000004">
      <c r="E15" t="s">
        <v>1</v>
      </c>
      <c r="F15" t="str">
        <f t="shared" ref="F15:F26" si="0">MID(E15,1,LEN(E15)-9)</f>
        <v>CByte</v>
      </c>
      <c r="G15" t="s">
        <v>23</v>
      </c>
      <c r="H15" t="str">
        <f>_xlfn.TEXTJOIN(CHAR(13),TRUE,"Case " &amp;Table1[[#This Row],[Column3]],"CType = "&amp;Table1[[#This Row],[Column2]]&amp;"(expression)")</f>
        <v>Case vbByte_x000D_CType = CByte(expression)</v>
      </c>
      <c r="I15" t="str">
        <f>"printOutVariantInfo "&amp;Table1[[#This Row],[Column2]]&amp;"(testValue)"</f>
        <v>printOutVariantInfo CByte(testValue)</v>
      </c>
    </row>
    <row r="16" spans="5:12" x14ac:dyDescent="0.55000000000000004">
      <c r="E16" t="s">
        <v>2</v>
      </c>
      <c r="F16" t="str">
        <f t="shared" si="0"/>
        <v>CCur</v>
      </c>
      <c r="G16" t="s">
        <v>17</v>
      </c>
      <c r="H16" t="str">
        <f>_xlfn.TEXTJOIN(CHAR(13),TRUE,"Case " &amp;Table1[[#This Row],[Column3]],"CType = "&amp;Table1[[#This Row],[Column2]]&amp;"(expression)")</f>
        <v>Case vbCurrency_x000D_CType = CCur(expression)</v>
      </c>
      <c r="I16" t="str">
        <f>"printOutVariantInfo "&amp;Table1[[#This Row],[Column2]]&amp;"(testValue)"</f>
        <v>printOutVariantInfo CCur(testValue)</v>
      </c>
    </row>
    <row r="17" spans="5:9" x14ac:dyDescent="0.55000000000000004">
      <c r="E17" t="s">
        <v>3</v>
      </c>
      <c r="F17" t="str">
        <f t="shared" si="0"/>
        <v>CDate</v>
      </c>
      <c r="G17" t="s">
        <v>18</v>
      </c>
      <c r="H17" t="str">
        <f>_xlfn.TEXTJOIN(CHAR(13),TRUE,"Case " &amp;Table1[[#This Row],[Column3]],"CType = "&amp;Table1[[#This Row],[Column2]]&amp;"(expression)")</f>
        <v>Case vbDate_x000D_CType = CDate(expression)</v>
      </c>
      <c r="I17" t="str">
        <f>"printOutVariantInfo "&amp;Table1[[#This Row],[Column2]]&amp;"(testValue)"</f>
        <v>printOutVariantInfo CDate(testValue)</v>
      </c>
    </row>
    <row r="18" spans="5:9" x14ac:dyDescent="0.55000000000000004">
      <c r="E18" t="s">
        <v>4</v>
      </c>
      <c r="F18" t="str">
        <f t="shared" si="0"/>
        <v>CDec</v>
      </c>
      <c r="G18" t="s">
        <v>22</v>
      </c>
      <c r="H18" t="str">
        <f>_xlfn.TEXTJOIN(CHAR(13),TRUE,"Case " &amp;Table1[[#This Row],[Column3]],"CType = "&amp;Table1[[#This Row],[Column2]]&amp;"(expression)")</f>
        <v>Case vbDecimal_x000D_CType = CDec(expression)</v>
      </c>
      <c r="I18" t="str">
        <f>"printOutVariantInfo "&amp;Table1[[#This Row],[Column2]]&amp;"(testValue)"</f>
        <v>printOutVariantInfo CDec(testValue)</v>
      </c>
    </row>
    <row r="19" spans="5:9" x14ac:dyDescent="0.55000000000000004">
      <c r="E19" t="s">
        <v>5</v>
      </c>
      <c r="F19" t="str">
        <f t="shared" si="0"/>
        <v>CDbl</v>
      </c>
      <c r="G19" t="s">
        <v>16</v>
      </c>
      <c r="H19" t="str">
        <f>_xlfn.TEXTJOIN(CHAR(13),TRUE,"Case " &amp;Table1[[#This Row],[Column3]],"CType = "&amp;Table1[[#This Row],[Column2]]&amp;"(expression)")</f>
        <v>Case vbDouble_x000D_CType = CDbl(expression)</v>
      </c>
      <c r="I19" t="str">
        <f>"printOutVariantInfo "&amp;Table1[[#This Row],[Column2]]&amp;"(testValue)"</f>
        <v>printOutVariantInfo CDbl(testValue)</v>
      </c>
    </row>
    <row r="20" spans="5:9" x14ac:dyDescent="0.55000000000000004">
      <c r="E20" t="s">
        <v>6</v>
      </c>
      <c r="F20" t="str">
        <f t="shared" si="0"/>
        <v>CInt</v>
      </c>
      <c r="G20" t="s">
        <v>13</v>
      </c>
      <c r="H20" t="str">
        <f>_xlfn.TEXTJOIN(CHAR(13),TRUE,"Case " &amp;Table1[[#This Row],[Column3]],"CType = "&amp;Table1[[#This Row],[Column2]]&amp;"(expression)")</f>
        <v>Case vbInteger_x000D_CType = CInt(expression)</v>
      </c>
      <c r="I20" t="str">
        <f>"printOutVariantInfo "&amp;Table1[[#This Row],[Column2]]&amp;"(testValue)"</f>
        <v>printOutVariantInfo CInt(testValue)</v>
      </c>
    </row>
    <row r="21" spans="5:9" x14ac:dyDescent="0.55000000000000004">
      <c r="E21" t="s">
        <v>7</v>
      </c>
      <c r="F21" t="str">
        <f t="shared" si="0"/>
        <v>CLng</v>
      </c>
      <c r="G21" t="s">
        <v>14</v>
      </c>
      <c r="H21" t="str">
        <f>_xlfn.TEXTJOIN(CHAR(13),TRUE,"Case " &amp;Table1[[#This Row],[Column3]],"CType = "&amp;Table1[[#This Row],[Column2]]&amp;"(expression)")</f>
        <v>Case vbLong_x000D_CType = CLng(expression)</v>
      </c>
      <c r="I21" t="str">
        <f>"printOutVariantInfo "&amp;Table1[[#This Row],[Column2]]&amp;"(testValue)"</f>
        <v>printOutVariantInfo CLng(testValue)</v>
      </c>
    </row>
    <row r="22" spans="5:9" x14ac:dyDescent="0.55000000000000004">
      <c r="E22" t="s">
        <v>8</v>
      </c>
      <c r="F22" t="str">
        <f t="shared" si="0"/>
        <v>CLngLng</v>
      </c>
      <c r="G22" t="s">
        <v>24</v>
      </c>
      <c r="H22" t="str">
        <f>_xlfn.TEXTJOIN(CHAR(13),TRUE,"Case " &amp;Table1[[#This Row],[Column3]],"CType = "&amp;Table1[[#This Row],[Column2]]&amp;"(expression)")</f>
        <v>Case vbLongLong_x000D_CType = CLngLng(expression)</v>
      </c>
      <c r="I22" t="str">
        <f>"printOutVariantInfo "&amp;Table1[[#This Row],[Column2]]&amp;"(testValue)"</f>
        <v>printOutVariantInfo CLngLng(testValue)</v>
      </c>
    </row>
    <row r="23" spans="5:9" x14ac:dyDescent="0.55000000000000004">
      <c r="E23" t="s">
        <v>9</v>
      </c>
      <c r="F23" t="str">
        <f t="shared" si="0"/>
        <v>CLngPtr</v>
      </c>
      <c r="G23" t="s">
        <v>25</v>
      </c>
      <c r="H23" t="str">
        <f>_xlfn.TEXTJOIN(CHAR(13),TRUE,"Case " &amp;Table1[[#This Row],[Column3]],"CType = "&amp;Table1[[#This Row],[Column2]]&amp;"(expression)")</f>
        <v>Case vbLongPtr_x000D_CType = CLngPtr(expression)</v>
      </c>
      <c r="I23" t="str">
        <f>"printOutVariantInfo "&amp;Table1[[#This Row],[Column2]]&amp;"(testValue)"</f>
        <v>printOutVariantInfo CLngPtr(testValue)</v>
      </c>
    </row>
    <row r="24" spans="5:9" x14ac:dyDescent="0.55000000000000004">
      <c r="E24" t="s">
        <v>10</v>
      </c>
      <c r="F24" t="str">
        <f t="shared" si="0"/>
        <v>CSng</v>
      </c>
      <c r="G24" t="s">
        <v>15</v>
      </c>
      <c r="H24" t="str">
        <f>_xlfn.TEXTJOIN(CHAR(13),TRUE,"Case " &amp;Table1[[#This Row],[Column3]],"CType = "&amp;Table1[[#This Row],[Column2]]&amp;"(expression)")</f>
        <v>Case vbSingle_x000D_CType = CSng(expression)</v>
      </c>
      <c r="I24" t="str">
        <f>"printOutVariantInfo "&amp;Table1[[#This Row],[Column2]]&amp;"(testValue)"</f>
        <v>printOutVariantInfo CSng(testValue)</v>
      </c>
    </row>
    <row r="25" spans="5:9" x14ac:dyDescent="0.55000000000000004">
      <c r="E25" t="s">
        <v>11</v>
      </c>
      <c r="F25" t="str">
        <f t="shared" si="0"/>
        <v>CStr</v>
      </c>
      <c r="G25" t="s">
        <v>19</v>
      </c>
      <c r="H25" t="str">
        <f>_xlfn.TEXTJOIN(CHAR(13),TRUE,"Case " &amp;Table1[[#This Row],[Column3]],"CType = "&amp;Table1[[#This Row],[Column2]]&amp;"(expression)")</f>
        <v>Case vbString_x000D_CType = CStr(expression)</v>
      </c>
      <c r="I25" t="str">
        <f>"printOutVariantInfo "&amp;Table1[[#This Row],[Column2]]&amp;"(testValue)"</f>
        <v>printOutVariantInfo CStr(testValue)</v>
      </c>
    </row>
    <row r="26" spans="5:9" x14ac:dyDescent="0.55000000000000004">
      <c r="E26" t="s">
        <v>12</v>
      </c>
      <c r="F26" t="str">
        <f t="shared" si="0"/>
        <v>CVar</v>
      </c>
      <c r="G26" t="s">
        <v>21</v>
      </c>
      <c r="H26" t="str">
        <f>_xlfn.TEXTJOIN(CHAR(13),TRUE,"Case " &amp;Table1[[#This Row],[Column3]],"CType = "&amp;Table1[[#This Row],[Column2]]&amp;"(expression)")</f>
        <v>Case vbVariant_x000D_CType = CVar(expression)</v>
      </c>
      <c r="I26" t="str">
        <f>"printOutVariantInfo "&amp;Table1[[#This Row],[Column2]]&amp;"(testValue)"</f>
        <v>printOutVariantInfo CVar(testValue)</v>
      </c>
    </row>
    <row r="27" spans="5:9" x14ac:dyDescent="0.55000000000000004">
      <c r="H27" s="1" t="str">
        <f>_xlfn.TEXTJOIN(CHAR(13),TRUE,Table1[Column4])</f>
        <v>Case vbBoolean_x000D_CType = CBool(expression)_x000D_Case vbByte_x000D_CType = CByte(expression)_x000D_Case vbCurrency_x000D_CType = CCur(expression)_x000D_Case vbDate_x000D_CType = CDate(expression)_x000D_Case vbDecimal_x000D_CType = CDec(expression)_x000D_Case vbDouble_x000D_CType = CDbl(expression)_x000D_Case vbInteger_x000D_CType = CInt(expression)_x000D_Case vbLong_x000D_CType = CLng(expression)_x000D_Case vbLongLong_x000D_CType = CLngLng(expression)_x000D_Case vbLongPtr_x000D_CType = CLngPtr(expression)_x000D_Case vbSingle_x000D_CType = CSng(expression)_x000D_Case vbString_x000D_CType = CStr(expression)_x000D_Case vbVariant_x000D_CType = CVar(expression)</v>
      </c>
      <c r="I27" t="str">
        <f>_xlfn.TEXTJOIN(CHAR(13),TRUE, Table1[Column5])</f>
        <v>printOutVariantInfo CBool(testValue)_x000D_printOutVariantInfo CByte(testValue)_x000D_printOutVariantInfo CCur(testValue)_x000D_printOutVariantInfo CDate(testValue)_x000D_printOutVariantInfo CDec(testValue)_x000D_printOutVariantInfo CDbl(testValue)_x000D_printOutVariantInfo CInt(testValue)_x000D_printOutVariantInfo CLng(testValue)_x000D_printOutVariantInfo CLngLng(testValue)_x000D_printOutVariantInfo CLngPtr(testValue)_x000D_printOutVariantInfo CSng(testValue)_x000D_printOutVariantInfo CStr(testValue)_x000D_printOutVariantInfo CVar(testValue)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1B151-422F-4055-BA11-323A03714FD6}">
  <sheetPr codeName="Sheet21"/>
  <dimension ref="A1:L144"/>
  <sheetViews>
    <sheetView tabSelected="1" topLeftCell="C1" workbookViewId="0">
      <selection activeCell="E80" sqref="E80"/>
    </sheetView>
  </sheetViews>
  <sheetFormatPr defaultRowHeight="14.4" x14ac:dyDescent="0.55000000000000004"/>
  <cols>
    <col min="1" max="1" width="9.578125" bestFit="1" customWidth="1"/>
    <col min="2" max="2" width="12.62890625" customWidth="1"/>
    <col min="3" max="3" width="12.47265625" bestFit="1" customWidth="1"/>
    <col min="4" max="4" width="24.89453125" bestFit="1" customWidth="1"/>
    <col min="5" max="5" width="36.20703125" bestFit="1" customWidth="1"/>
    <col min="6" max="6" width="36.20703125" customWidth="1"/>
    <col min="7" max="7" width="14.83984375" bestFit="1" customWidth="1"/>
    <col min="8" max="8" width="20" bestFit="1" customWidth="1"/>
    <col min="9" max="9" width="10.15625" bestFit="1" customWidth="1"/>
    <col min="10" max="10" width="8.83984375" customWidth="1"/>
  </cols>
  <sheetData>
    <row r="1" spans="1:12" x14ac:dyDescent="0.55000000000000004">
      <c r="A1" s="3" t="s">
        <v>81</v>
      </c>
      <c r="B1" s="3" t="s">
        <v>82</v>
      </c>
      <c r="C1" s="3" t="s">
        <v>84</v>
      </c>
      <c r="D1" s="3" t="s">
        <v>83</v>
      </c>
      <c r="E1" s="3" t="s">
        <v>32</v>
      </c>
      <c r="F1" s="3" t="s">
        <v>130</v>
      </c>
      <c r="G1" s="3" t="s">
        <v>34</v>
      </c>
      <c r="H1" s="3" t="s">
        <v>36</v>
      </c>
      <c r="I1" s="3" t="s">
        <v>38</v>
      </c>
      <c r="J1" s="3" t="s">
        <v>107</v>
      </c>
      <c r="K1" s="3" t="s">
        <v>26</v>
      </c>
      <c r="L1" s="3" t="s">
        <v>186</v>
      </c>
    </row>
    <row r="2" spans="1:12" x14ac:dyDescent="0.55000000000000004">
      <c r="A2" s="3" t="s">
        <v>31</v>
      </c>
      <c r="B2" s="3" t="s">
        <v>67</v>
      </c>
      <c r="C2" s="4" t="str">
        <f>IF(MOD(ROW(),6 )= 2,Table2[[#This Row],[Titel]],C1)</f>
        <v>Boolean</v>
      </c>
      <c r="D2" t="str">
        <f>VLOOKUP(Table2[[#This Row],[Type]],Table2[[Titel]:[Values]],2,FALSE)</f>
        <v>True</v>
      </c>
      <c r="E2" t="str">
        <f ca="1">OFFSET(INDIRECT(ADDRESS(MATCH(Table2[[#This Row],[Type]],Table2[Titel],0),2)),2,0)</f>
        <v>0B00 0000 0000 0000 FFFF 0000 0000 0000</v>
      </c>
      <c r="F2" t="s">
        <v>33</v>
      </c>
      <c r="G2" t="str">
        <f ca="1">OFFSET(INDIRECT(ADDRESS(MATCH(Table2[[#This Row],[Type]],Table2[Titel],0),2)),3,0)</f>
        <v>00 00 00 00 00 00</v>
      </c>
      <c r="H2" t="str">
        <f ca="1">OFFSET(INDIRECT(ADDRESS(MATCH(Table2[[#This Row],[Type]],Table2[Titel],0),2)),4,0)</f>
        <v>00 00 00 00 00 00 FF FF</v>
      </c>
      <c r="I2" t="str">
        <f ca="1">OFFSET(INDIRECT(ADDRESS(MATCH(Table2[[#This Row],[Type]],Table2[Titel],0),2)),5,0)</f>
        <v>0B00</v>
      </c>
      <c r="J2" s="1" t="b">
        <f t="shared" ref="J2:J33" si="0">MOD(ROW(),6) = 2</f>
        <v>1</v>
      </c>
      <c r="K2" s="1" t="str">
        <f ca="1">LEFT(Table2[[#This Row],[VarType:]],2)</f>
        <v>0B</v>
      </c>
      <c r="L2" s="1"/>
    </row>
    <row r="3" spans="1:12" hidden="1" x14ac:dyDescent="0.55000000000000004">
      <c r="A3" s="3" t="s">
        <v>32</v>
      </c>
      <c r="B3" s="3" t="s">
        <v>33</v>
      </c>
      <c r="C3" s="1" t="str">
        <f>IF(MOD(ROW(),6 )= 2,Table2[[#This Row],[Titel]],C2)</f>
        <v>Boolean</v>
      </c>
      <c r="D3" t="str">
        <f>VLOOKUP(Table2[[#This Row],[Type]],Table2[[Titel]:[Values]],2,FALSE)</f>
        <v>True</v>
      </c>
      <c r="E3" t="str">
        <f ca="1">OFFSET(INDIRECT(ADDRESS(MATCH(Table2[[#This Row],[Type]],Table2[Titel],0),2)),2,0)</f>
        <v>0B00 0000 0000 0000 FFFF 0000 0000 0000</v>
      </c>
      <c r="F3" t="s">
        <v>131</v>
      </c>
      <c r="G3" t="str">
        <f ca="1">OFFSET(INDIRECT(ADDRESS(MATCH(Table2[[#This Row],[Type]],Table2[Titel],0),2)),3,0)</f>
        <v>00 00 00 00 00 00</v>
      </c>
      <c r="H3" t="str">
        <f ca="1">OFFSET(INDIRECT(ADDRESS(MATCH(Table2[[#This Row],[Type]],Table2[Titel],0),2)),4,0)</f>
        <v>00 00 00 00 00 00 FF FF</v>
      </c>
      <c r="I3" t="str">
        <f ca="1">OFFSET(INDIRECT(ADDRESS(MATCH(Table2[[#This Row],[Type]],Table2[Titel],0),2)),5,0)</f>
        <v>0B00</v>
      </c>
      <c r="J3" s="1" t="b">
        <f t="shared" si="0"/>
        <v>0</v>
      </c>
      <c r="K3" s="1" t="str">
        <f ca="1">LEFT(Table2[[#This Row],[VarType:]],2)</f>
        <v>0B</v>
      </c>
      <c r="L3" s="1" t="b">
        <f ca="1">HEX2DEC(Table2[[#This Row],[VarType:]])&gt;=HEX2DEC(VT_Stuff!$C$37)</f>
        <v>0</v>
      </c>
    </row>
    <row r="4" spans="1:12" hidden="1" x14ac:dyDescent="0.55000000000000004">
      <c r="A4" s="3" t="s">
        <v>34</v>
      </c>
      <c r="B4" s="3" t="s">
        <v>35</v>
      </c>
      <c r="C4" s="1" t="str">
        <f>IF(MOD(ROW(),6 )= 2,Table2[[#This Row],[Titel]],C3)</f>
        <v>Boolean</v>
      </c>
      <c r="D4" t="str">
        <f>VLOOKUP(Table2[[#This Row],[Type]],Table2[[Titel]:[Values]],2,FALSE)</f>
        <v>True</v>
      </c>
      <c r="E4" t="str">
        <f ca="1">OFFSET(INDIRECT(ADDRESS(MATCH(Table2[[#This Row],[Type]],Table2[Titel],0),2)),2,0)</f>
        <v>0B00 0000 0000 0000 FFFF 0000 0000 0000</v>
      </c>
      <c r="F4" t="s">
        <v>131</v>
      </c>
      <c r="G4" t="str">
        <f ca="1">OFFSET(INDIRECT(ADDRESS(MATCH(Table2[[#This Row],[Type]],Table2[Titel],0),2)),3,0)</f>
        <v>00 00 00 00 00 00</v>
      </c>
      <c r="H4" t="str">
        <f ca="1">OFFSET(INDIRECT(ADDRESS(MATCH(Table2[[#This Row],[Type]],Table2[Titel],0),2)),4,0)</f>
        <v>00 00 00 00 00 00 FF FF</v>
      </c>
      <c r="I4" t="str">
        <f ca="1">OFFSET(INDIRECT(ADDRESS(MATCH(Table2[[#This Row],[Type]],Table2[Titel],0),2)),5,0)</f>
        <v>0B00</v>
      </c>
      <c r="J4" s="1" t="b">
        <f t="shared" si="0"/>
        <v>0</v>
      </c>
      <c r="K4" s="1" t="str">
        <f ca="1">LEFT(Table2[[#This Row],[VarType:]],2)</f>
        <v>0B</v>
      </c>
      <c r="L4" s="1" t="b">
        <f ca="1">HEX2DEC(Table2[[#This Row],[VarType:]])&gt;=HEX2DEC(VT_Stuff!$C$37)</f>
        <v>0</v>
      </c>
    </row>
    <row r="5" spans="1:12" hidden="1" x14ac:dyDescent="0.55000000000000004">
      <c r="A5" s="3" t="s">
        <v>36</v>
      </c>
      <c r="B5" s="3" t="s">
        <v>37</v>
      </c>
      <c r="C5" s="1" t="str">
        <f>IF(MOD(ROW(),6 )= 2,Table2[[#This Row],[Titel]],C4)</f>
        <v>Boolean</v>
      </c>
      <c r="D5" t="str">
        <f>VLOOKUP(Table2[[#This Row],[Type]],Table2[[Titel]:[Values]],2,FALSE)</f>
        <v>True</v>
      </c>
      <c r="E5" t="str">
        <f ca="1">OFFSET(INDIRECT(ADDRESS(MATCH(Table2[[#This Row],[Type]],Table2[Titel],0),2)),2,0)</f>
        <v>0B00 0000 0000 0000 FFFF 0000 0000 0000</v>
      </c>
      <c r="F5" t="s">
        <v>131</v>
      </c>
      <c r="G5" t="str">
        <f ca="1">OFFSET(INDIRECT(ADDRESS(MATCH(Table2[[#This Row],[Type]],Table2[Titel],0),2)),3,0)</f>
        <v>00 00 00 00 00 00</v>
      </c>
      <c r="H5" t="str">
        <f ca="1">OFFSET(INDIRECT(ADDRESS(MATCH(Table2[[#This Row],[Type]],Table2[Titel],0),2)),4,0)</f>
        <v>00 00 00 00 00 00 FF FF</v>
      </c>
      <c r="I5" t="str">
        <f ca="1">OFFSET(INDIRECT(ADDRESS(MATCH(Table2[[#This Row],[Type]],Table2[Titel],0),2)),5,0)</f>
        <v>0B00</v>
      </c>
      <c r="J5" s="1" t="b">
        <f t="shared" si="0"/>
        <v>0</v>
      </c>
      <c r="K5" s="1" t="str">
        <f ca="1">LEFT(Table2[[#This Row],[VarType:]],2)</f>
        <v>0B</v>
      </c>
      <c r="L5" s="1" t="b">
        <f ca="1">HEX2DEC(Table2[[#This Row],[VarType:]])&gt;=HEX2DEC(VT_Stuff!$C$37)</f>
        <v>0</v>
      </c>
    </row>
    <row r="6" spans="1:12" hidden="1" x14ac:dyDescent="0.55000000000000004">
      <c r="A6" s="3" t="s">
        <v>38</v>
      </c>
      <c r="B6" s="3" t="s">
        <v>39</v>
      </c>
      <c r="C6" s="1" t="str">
        <f>IF(MOD(ROW(),6 )= 2,Table2[[#This Row],[Titel]],C5)</f>
        <v>Boolean</v>
      </c>
      <c r="D6" t="str">
        <f>VLOOKUP(Table2[[#This Row],[Type]],Table2[[Titel]:[Values]],2,FALSE)</f>
        <v>True</v>
      </c>
      <c r="E6" t="str">
        <f ca="1">OFFSET(INDIRECT(ADDRESS(MATCH(Table2[[#This Row],[Type]],Table2[Titel],0),2)),2,0)</f>
        <v>0B00 0000 0000 0000 FFFF 0000 0000 0000</v>
      </c>
      <c r="F6" t="s">
        <v>131</v>
      </c>
      <c r="G6" t="str">
        <f ca="1">OFFSET(INDIRECT(ADDRESS(MATCH(Table2[[#This Row],[Type]],Table2[Titel],0),2)),3,0)</f>
        <v>00 00 00 00 00 00</v>
      </c>
      <c r="H6" t="str">
        <f ca="1">OFFSET(INDIRECT(ADDRESS(MATCH(Table2[[#This Row],[Type]],Table2[Titel],0),2)),4,0)</f>
        <v>00 00 00 00 00 00 FF FF</v>
      </c>
      <c r="I6" t="str">
        <f ca="1">OFFSET(INDIRECT(ADDRESS(MATCH(Table2[[#This Row],[Type]],Table2[Titel],0),2)),5,0)</f>
        <v>0B00</v>
      </c>
      <c r="J6" s="1" t="b">
        <f t="shared" si="0"/>
        <v>0</v>
      </c>
      <c r="K6" s="1" t="str">
        <f ca="1">LEFT(Table2[[#This Row],[VarType:]],2)</f>
        <v>0B</v>
      </c>
      <c r="L6" s="1" t="b">
        <f ca="1">HEX2DEC(Table2[[#This Row],[VarType:]])&gt;=HEX2DEC(VT_Stuff!$C$37)</f>
        <v>0</v>
      </c>
    </row>
    <row r="7" spans="1:12" hidden="1" x14ac:dyDescent="0.55000000000000004">
      <c r="C7" s="1" t="str">
        <f>IF(MOD(ROW(),6 )= 2,Table2[[#This Row],[Titel]],C6)</f>
        <v>Boolean</v>
      </c>
      <c r="D7" t="str">
        <f>VLOOKUP(Table2[[#This Row],[Type]],Table2[[Titel]:[Values]],2,FALSE)</f>
        <v>True</v>
      </c>
      <c r="E7" t="str">
        <f ca="1">OFFSET(INDIRECT(ADDRESS(MATCH(Table2[[#This Row],[Type]],Table2[Titel],0),2)),2,0)</f>
        <v>0B00 0000 0000 0000 FFFF 0000 0000 0000</v>
      </c>
      <c r="F7" t="s">
        <v>131</v>
      </c>
      <c r="G7" t="str">
        <f ca="1">OFFSET(INDIRECT(ADDRESS(MATCH(Table2[[#This Row],[Type]],Table2[Titel],0),2)),3,0)</f>
        <v>00 00 00 00 00 00</v>
      </c>
      <c r="H7" t="str">
        <f ca="1">OFFSET(INDIRECT(ADDRESS(MATCH(Table2[[#This Row],[Type]],Table2[Titel],0),2)),4,0)</f>
        <v>00 00 00 00 00 00 FF FF</v>
      </c>
      <c r="I7" t="str">
        <f ca="1">OFFSET(INDIRECT(ADDRESS(MATCH(Table2[[#This Row],[Type]],Table2[Titel],0),2)),5,0)</f>
        <v>0B00</v>
      </c>
      <c r="J7" s="1" t="b">
        <f t="shared" si="0"/>
        <v>0</v>
      </c>
      <c r="K7" s="1" t="str">
        <f ca="1">LEFT(Table2[[#This Row],[VarType:]],2)</f>
        <v>0B</v>
      </c>
      <c r="L7" s="1" t="b">
        <f ca="1">HEX2DEC(Table2[[#This Row],[VarType:]])&gt;=HEX2DEC(VT_Stuff!$C$37)</f>
        <v>0</v>
      </c>
    </row>
    <row r="8" spans="1:12" x14ac:dyDescent="0.55000000000000004">
      <c r="A8" s="3" t="s">
        <v>40</v>
      </c>
      <c r="B8" s="3" t="s">
        <v>68</v>
      </c>
      <c r="C8" s="4" t="str">
        <f>IF(MOD(ROW(),6 )= 2,Table2[[#This Row],[Titel]],C7)</f>
        <v>Byte</v>
      </c>
      <c r="D8" t="str">
        <f>VLOOKUP(Table2[[#This Row],[Type]],Table2[[Titel]:[Values]],2,FALSE)</f>
        <v>3</v>
      </c>
      <c r="E8" t="str">
        <f ca="1">OFFSET(INDIRECT(ADDRESS(MATCH(Table2[[#This Row],[Type]],Table2[Titel],0),2)),2,0)</f>
        <v>1100 0000 0000 0000 0300 0000 0000 0000</v>
      </c>
      <c r="F8" t="s">
        <v>41</v>
      </c>
      <c r="G8" t="str">
        <f ca="1">OFFSET(INDIRECT(ADDRESS(MATCH(Table2[[#This Row],[Type]],Table2[Titel],0),2)),3,0)</f>
        <v>00 00 00 00 00 00</v>
      </c>
      <c r="H8" t="str">
        <f ca="1">OFFSET(INDIRECT(ADDRESS(MATCH(Table2[[#This Row],[Type]],Table2[Titel],0),2)),4,0)</f>
        <v>00 00 00 00 00 00 00 03</v>
      </c>
      <c r="I8" t="str">
        <f ca="1">OFFSET(INDIRECT(ADDRESS(MATCH(Table2[[#This Row],[Type]],Table2[Titel],0),2)),5,0)</f>
        <v>1100</v>
      </c>
      <c r="J8" s="1" t="b">
        <f t="shared" si="0"/>
        <v>1</v>
      </c>
      <c r="K8" s="1" t="str">
        <f ca="1">LEFT(Table2[[#This Row],[VarType:]],2)</f>
        <v>11</v>
      </c>
      <c r="L8" s="1"/>
    </row>
    <row r="9" spans="1:12" hidden="1" x14ac:dyDescent="0.55000000000000004">
      <c r="A9" s="3" t="s">
        <v>32</v>
      </c>
      <c r="B9" s="3" t="s">
        <v>41</v>
      </c>
      <c r="C9" s="1" t="str">
        <f>IF(MOD(ROW(),6 )= 2,Table2[[#This Row],[Titel]],C8)</f>
        <v>Byte</v>
      </c>
      <c r="D9" t="str">
        <f>VLOOKUP(Table2[[#This Row],[Type]],Table2[[Titel]:[Values]],2,FALSE)</f>
        <v>3</v>
      </c>
      <c r="E9" t="str">
        <f ca="1">OFFSET(INDIRECT(ADDRESS(MATCH(Table2[[#This Row],[Type]],Table2[Titel],0),2)),2,0)</f>
        <v>1100 0000 0000 0000 0300 0000 0000 0000</v>
      </c>
      <c r="F9" t="s">
        <v>131</v>
      </c>
      <c r="G9" t="str">
        <f ca="1">OFFSET(INDIRECT(ADDRESS(MATCH(Table2[[#This Row],[Type]],Table2[Titel],0),2)),3,0)</f>
        <v>00 00 00 00 00 00</v>
      </c>
      <c r="H9" t="str">
        <f ca="1">OFFSET(INDIRECT(ADDRESS(MATCH(Table2[[#This Row],[Type]],Table2[Titel],0),2)),4,0)</f>
        <v>00 00 00 00 00 00 00 03</v>
      </c>
      <c r="I9" t="str">
        <f ca="1">OFFSET(INDIRECT(ADDRESS(MATCH(Table2[[#This Row],[Type]],Table2[Titel],0),2)),5,0)</f>
        <v>1100</v>
      </c>
      <c r="J9" s="1" t="b">
        <f t="shared" si="0"/>
        <v>0</v>
      </c>
      <c r="K9" s="1" t="str">
        <f ca="1">LEFT(Table2[[#This Row],[VarType:]],2)</f>
        <v>11</v>
      </c>
      <c r="L9" s="1" t="b">
        <f ca="1">HEX2DEC(Table2[[#This Row],[VarType:]])&gt;=HEX2DEC(VT_Stuff!$C$37)</f>
        <v>0</v>
      </c>
    </row>
    <row r="10" spans="1:12" hidden="1" x14ac:dyDescent="0.55000000000000004">
      <c r="A10" s="3" t="s">
        <v>34</v>
      </c>
      <c r="B10" s="3" t="s">
        <v>35</v>
      </c>
      <c r="C10" s="1" t="str">
        <f>IF(MOD(ROW(),6 )= 2,Table2[[#This Row],[Titel]],C9)</f>
        <v>Byte</v>
      </c>
      <c r="D10" t="str">
        <f>VLOOKUP(Table2[[#This Row],[Type]],Table2[[Titel]:[Values]],2,FALSE)</f>
        <v>3</v>
      </c>
      <c r="E10" t="str">
        <f ca="1">OFFSET(INDIRECT(ADDRESS(MATCH(Table2[[#This Row],[Type]],Table2[Titel],0),2)),2,0)</f>
        <v>1100 0000 0000 0000 0300 0000 0000 0000</v>
      </c>
      <c r="F10" t="s">
        <v>131</v>
      </c>
      <c r="G10" t="str">
        <f ca="1">OFFSET(INDIRECT(ADDRESS(MATCH(Table2[[#This Row],[Type]],Table2[Titel],0),2)),3,0)</f>
        <v>00 00 00 00 00 00</v>
      </c>
      <c r="H10" t="str">
        <f ca="1">OFFSET(INDIRECT(ADDRESS(MATCH(Table2[[#This Row],[Type]],Table2[Titel],0),2)),4,0)</f>
        <v>00 00 00 00 00 00 00 03</v>
      </c>
      <c r="I10" t="str">
        <f ca="1">OFFSET(INDIRECT(ADDRESS(MATCH(Table2[[#This Row],[Type]],Table2[Titel],0),2)),5,0)</f>
        <v>1100</v>
      </c>
      <c r="J10" s="1" t="b">
        <f t="shared" si="0"/>
        <v>0</v>
      </c>
      <c r="K10" s="1" t="str">
        <f ca="1">LEFT(Table2[[#This Row],[VarType:]],2)</f>
        <v>11</v>
      </c>
      <c r="L10" s="1" t="b">
        <f ca="1">HEX2DEC(Table2[[#This Row],[VarType:]])&gt;=HEX2DEC(VT_Stuff!$C$37)</f>
        <v>0</v>
      </c>
    </row>
    <row r="11" spans="1:12" hidden="1" x14ac:dyDescent="0.55000000000000004">
      <c r="A11" s="3" t="s">
        <v>36</v>
      </c>
      <c r="B11" s="3" t="s">
        <v>42</v>
      </c>
      <c r="C11" s="1" t="str">
        <f>IF(MOD(ROW(),6 )= 2,Table2[[#This Row],[Titel]],C10)</f>
        <v>Byte</v>
      </c>
      <c r="D11" t="str">
        <f>VLOOKUP(Table2[[#This Row],[Type]],Table2[[Titel]:[Values]],2,FALSE)</f>
        <v>3</v>
      </c>
      <c r="E11" t="str">
        <f ca="1">OFFSET(INDIRECT(ADDRESS(MATCH(Table2[[#This Row],[Type]],Table2[Titel],0),2)),2,0)</f>
        <v>1100 0000 0000 0000 0300 0000 0000 0000</v>
      </c>
      <c r="F11" t="s">
        <v>131</v>
      </c>
      <c r="G11" t="str">
        <f ca="1">OFFSET(INDIRECT(ADDRESS(MATCH(Table2[[#This Row],[Type]],Table2[Titel],0),2)),3,0)</f>
        <v>00 00 00 00 00 00</v>
      </c>
      <c r="H11" t="str">
        <f ca="1">OFFSET(INDIRECT(ADDRESS(MATCH(Table2[[#This Row],[Type]],Table2[Titel],0),2)),4,0)</f>
        <v>00 00 00 00 00 00 00 03</v>
      </c>
      <c r="I11" t="str">
        <f ca="1">OFFSET(INDIRECT(ADDRESS(MATCH(Table2[[#This Row],[Type]],Table2[Titel],0),2)),5,0)</f>
        <v>1100</v>
      </c>
      <c r="J11" s="1" t="b">
        <f t="shared" si="0"/>
        <v>0</v>
      </c>
      <c r="K11" s="1" t="str">
        <f ca="1">LEFT(Table2[[#This Row],[VarType:]],2)</f>
        <v>11</v>
      </c>
      <c r="L11" s="1" t="b">
        <f ca="1">HEX2DEC(Table2[[#This Row],[VarType:]])&gt;=HEX2DEC(VT_Stuff!$C$37)</f>
        <v>0</v>
      </c>
    </row>
    <row r="12" spans="1:12" hidden="1" x14ac:dyDescent="0.55000000000000004">
      <c r="A12" s="3" t="s">
        <v>38</v>
      </c>
      <c r="B12" s="3" t="s">
        <v>69</v>
      </c>
      <c r="C12" s="1" t="str">
        <f>IF(MOD(ROW(),6 )= 2,Table2[[#This Row],[Titel]],C11)</f>
        <v>Byte</v>
      </c>
      <c r="D12" t="str">
        <f>VLOOKUP(Table2[[#This Row],[Type]],Table2[[Titel]:[Values]],2,FALSE)</f>
        <v>3</v>
      </c>
      <c r="E12" t="str">
        <f ca="1">OFFSET(INDIRECT(ADDRESS(MATCH(Table2[[#This Row],[Type]],Table2[Titel],0),2)),2,0)</f>
        <v>1100 0000 0000 0000 0300 0000 0000 0000</v>
      </c>
      <c r="F12" t="s">
        <v>131</v>
      </c>
      <c r="G12" t="str">
        <f ca="1">OFFSET(INDIRECT(ADDRESS(MATCH(Table2[[#This Row],[Type]],Table2[Titel],0),2)),3,0)</f>
        <v>00 00 00 00 00 00</v>
      </c>
      <c r="H12" t="str">
        <f ca="1">OFFSET(INDIRECT(ADDRESS(MATCH(Table2[[#This Row],[Type]],Table2[Titel],0),2)),4,0)</f>
        <v>00 00 00 00 00 00 00 03</v>
      </c>
      <c r="I12" t="str">
        <f ca="1">OFFSET(INDIRECT(ADDRESS(MATCH(Table2[[#This Row],[Type]],Table2[Titel],0),2)),5,0)</f>
        <v>1100</v>
      </c>
      <c r="J12" s="1" t="b">
        <f t="shared" si="0"/>
        <v>0</v>
      </c>
      <c r="K12" s="1" t="str">
        <f ca="1">LEFT(Table2[[#This Row],[VarType:]],2)</f>
        <v>11</v>
      </c>
      <c r="L12" s="1" t="b">
        <f ca="1">HEX2DEC(Table2[[#This Row],[VarType:]])&gt;=HEX2DEC(VT_Stuff!$C$37)</f>
        <v>0</v>
      </c>
    </row>
    <row r="13" spans="1:12" hidden="1" x14ac:dyDescent="0.55000000000000004">
      <c r="C13" s="1" t="str">
        <f>IF(MOD(ROW(),6 )= 2,Table2[[#This Row],[Titel]],C12)</f>
        <v>Byte</v>
      </c>
      <c r="D13" t="str">
        <f>VLOOKUP(Table2[[#This Row],[Type]],Table2[[Titel]:[Values]],2,FALSE)</f>
        <v>3</v>
      </c>
      <c r="E13" t="str">
        <f ca="1">OFFSET(INDIRECT(ADDRESS(MATCH(Table2[[#This Row],[Type]],Table2[Titel],0),2)),2,0)</f>
        <v>1100 0000 0000 0000 0300 0000 0000 0000</v>
      </c>
      <c r="F13" t="s">
        <v>131</v>
      </c>
      <c r="G13" t="str">
        <f ca="1">OFFSET(INDIRECT(ADDRESS(MATCH(Table2[[#This Row],[Type]],Table2[Titel],0),2)),3,0)</f>
        <v>00 00 00 00 00 00</v>
      </c>
      <c r="H13" t="str">
        <f ca="1">OFFSET(INDIRECT(ADDRESS(MATCH(Table2[[#This Row],[Type]],Table2[Titel],0),2)),4,0)</f>
        <v>00 00 00 00 00 00 00 03</v>
      </c>
      <c r="I13" t="str">
        <f ca="1">OFFSET(INDIRECT(ADDRESS(MATCH(Table2[[#This Row],[Type]],Table2[Titel],0),2)),5,0)</f>
        <v>1100</v>
      </c>
      <c r="J13" s="1" t="b">
        <f t="shared" si="0"/>
        <v>0</v>
      </c>
      <c r="K13" s="1" t="str">
        <f ca="1">LEFT(Table2[[#This Row],[VarType:]],2)</f>
        <v>11</v>
      </c>
      <c r="L13" s="1" t="b">
        <f ca="1">HEX2DEC(Table2[[#This Row],[VarType:]])&gt;=HEX2DEC(VT_Stuff!$C$37)</f>
        <v>0</v>
      </c>
    </row>
    <row r="14" spans="1:12" x14ac:dyDescent="0.55000000000000004">
      <c r="A14" s="3" t="s">
        <v>43</v>
      </c>
      <c r="B14" s="3" t="s">
        <v>70</v>
      </c>
      <c r="C14" s="4" t="str">
        <f>IF(MOD(ROW(),6 )= 2,Table2[[#This Row],[Titel]],C13)</f>
        <v>Currency</v>
      </c>
      <c r="D14" t="str">
        <f>VLOOKUP(Table2[[#This Row],[Type]],Table2[[Titel]:[Values]],2,FALSE)</f>
        <v>3.1479</v>
      </c>
      <c r="E14" t="str">
        <f ca="1">OFFSET(INDIRECT(ADDRESS(MATCH(Table2[[#This Row],[Type]],Table2[Titel],0),2)),2,0)</f>
        <v>0600 0000 0000 0000 F77A 0000 0000 0000</v>
      </c>
      <c r="F14" t="s">
        <v>44</v>
      </c>
      <c r="G14" t="str">
        <f ca="1">OFFSET(INDIRECT(ADDRESS(MATCH(Table2[[#This Row],[Type]],Table2[Titel],0),2)),3,0)</f>
        <v>00 00 00 00 00 00</v>
      </c>
      <c r="H14" t="str">
        <f ca="1">OFFSET(INDIRECT(ADDRESS(MATCH(Table2[[#This Row],[Type]],Table2[Titel],0),2)),4,0)</f>
        <v>00 00 00 00 00 00 7A F7</v>
      </c>
      <c r="I14" t="str">
        <f ca="1">OFFSET(INDIRECT(ADDRESS(MATCH(Table2[[#This Row],[Type]],Table2[Titel],0),2)),5,0)</f>
        <v>0600</v>
      </c>
      <c r="J14" s="1" t="b">
        <f t="shared" si="0"/>
        <v>1</v>
      </c>
      <c r="K14" s="1" t="str">
        <f ca="1">LEFT(Table2[[#This Row],[VarType:]],2)</f>
        <v>06</v>
      </c>
      <c r="L14" s="1"/>
    </row>
    <row r="15" spans="1:12" hidden="1" x14ac:dyDescent="0.55000000000000004">
      <c r="A15" s="3" t="s">
        <v>32</v>
      </c>
      <c r="B15" s="3" t="s">
        <v>44</v>
      </c>
      <c r="C15" s="1" t="str">
        <f>IF(MOD(ROW(),6 )= 2,Table2[[#This Row],[Titel]],C14)</f>
        <v>Currency</v>
      </c>
      <c r="D15" t="str">
        <f>VLOOKUP(Table2[[#This Row],[Type]],Table2[[Titel]:[Values]],2,FALSE)</f>
        <v>3.1479</v>
      </c>
      <c r="E15" t="str">
        <f ca="1">OFFSET(INDIRECT(ADDRESS(MATCH(Table2[[#This Row],[Type]],Table2[Titel],0),2)),2,0)</f>
        <v>0600 0000 0000 0000 F77A 0000 0000 0000</v>
      </c>
      <c r="F15" t="s">
        <v>131</v>
      </c>
      <c r="G15" t="str">
        <f ca="1">OFFSET(INDIRECT(ADDRESS(MATCH(Table2[[#This Row],[Type]],Table2[Titel],0),2)),3,0)</f>
        <v>00 00 00 00 00 00</v>
      </c>
      <c r="H15" t="str">
        <f ca="1">OFFSET(INDIRECT(ADDRESS(MATCH(Table2[[#This Row],[Type]],Table2[Titel],0),2)),4,0)</f>
        <v>00 00 00 00 00 00 7A F7</v>
      </c>
      <c r="I15" t="str">
        <f ca="1">OFFSET(INDIRECT(ADDRESS(MATCH(Table2[[#This Row],[Type]],Table2[Titel],0),2)),5,0)</f>
        <v>0600</v>
      </c>
      <c r="J15" s="1" t="b">
        <f t="shared" si="0"/>
        <v>0</v>
      </c>
      <c r="K15" s="1" t="str">
        <f ca="1">LEFT(Table2[[#This Row],[VarType:]],2)</f>
        <v>06</v>
      </c>
      <c r="L15" s="1" t="b">
        <f ca="1">HEX2DEC(Table2[[#This Row],[VarType:]])&gt;=HEX2DEC(VT_Stuff!$C$37)</f>
        <v>0</v>
      </c>
    </row>
    <row r="16" spans="1:12" hidden="1" x14ac:dyDescent="0.55000000000000004">
      <c r="A16" s="3" t="s">
        <v>34</v>
      </c>
      <c r="B16" s="3" t="s">
        <v>35</v>
      </c>
      <c r="C16" s="1" t="str">
        <f>IF(MOD(ROW(),6 )= 2,Table2[[#This Row],[Titel]],C15)</f>
        <v>Currency</v>
      </c>
      <c r="D16" t="str">
        <f>VLOOKUP(Table2[[#This Row],[Type]],Table2[[Titel]:[Values]],2,FALSE)</f>
        <v>3.1479</v>
      </c>
      <c r="E16" t="str">
        <f ca="1">OFFSET(INDIRECT(ADDRESS(MATCH(Table2[[#This Row],[Type]],Table2[Titel],0),2)),2,0)</f>
        <v>0600 0000 0000 0000 F77A 0000 0000 0000</v>
      </c>
      <c r="F16" t="s">
        <v>131</v>
      </c>
      <c r="G16" t="str">
        <f ca="1">OFFSET(INDIRECT(ADDRESS(MATCH(Table2[[#This Row],[Type]],Table2[Titel],0),2)),3,0)</f>
        <v>00 00 00 00 00 00</v>
      </c>
      <c r="H16" t="str">
        <f ca="1">OFFSET(INDIRECT(ADDRESS(MATCH(Table2[[#This Row],[Type]],Table2[Titel],0),2)),4,0)</f>
        <v>00 00 00 00 00 00 7A F7</v>
      </c>
      <c r="I16" t="str">
        <f ca="1">OFFSET(INDIRECT(ADDRESS(MATCH(Table2[[#This Row],[Type]],Table2[Titel],0),2)),5,0)</f>
        <v>0600</v>
      </c>
      <c r="J16" s="1" t="b">
        <f t="shared" si="0"/>
        <v>0</v>
      </c>
      <c r="K16" s="1" t="str">
        <f ca="1">LEFT(Table2[[#This Row],[VarType:]],2)</f>
        <v>06</v>
      </c>
      <c r="L16" s="1" t="b">
        <f ca="1">HEX2DEC(Table2[[#This Row],[VarType:]])&gt;=HEX2DEC(VT_Stuff!$C$37)</f>
        <v>0</v>
      </c>
    </row>
    <row r="17" spans="1:12" hidden="1" x14ac:dyDescent="0.55000000000000004">
      <c r="A17" s="3" t="s">
        <v>36</v>
      </c>
      <c r="B17" s="3" t="s">
        <v>45</v>
      </c>
      <c r="C17" s="1" t="str">
        <f>IF(MOD(ROW(),6 )= 2,Table2[[#This Row],[Titel]],C16)</f>
        <v>Currency</v>
      </c>
      <c r="D17" t="str">
        <f>VLOOKUP(Table2[[#This Row],[Type]],Table2[[Titel]:[Values]],2,FALSE)</f>
        <v>3.1479</v>
      </c>
      <c r="E17" t="str">
        <f ca="1">OFFSET(INDIRECT(ADDRESS(MATCH(Table2[[#This Row],[Type]],Table2[Titel],0),2)),2,0)</f>
        <v>0600 0000 0000 0000 F77A 0000 0000 0000</v>
      </c>
      <c r="F17" t="s">
        <v>131</v>
      </c>
      <c r="G17" t="str">
        <f ca="1">OFFSET(INDIRECT(ADDRESS(MATCH(Table2[[#This Row],[Type]],Table2[Titel],0),2)),3,0)</f>
        <v>00 00 00 00 00 00</v>
      </c>
      <c r="H17" t="str">
        <f ca="1">OFFSET(INDIRECT(ADDRESS(MATCH(Table2[[#This Row],[Type]],Table2[Titel],0),2)),4,0)</f>
        <v>00 00 00 00 00 00 7A F7</v>
      </c>
      <c r="I17" t="str">
        <f ca="1">OFFSET(INDIRECT(ADDRESS(MATCH(Table2[[#This Row],[Type]],Table2[Titel],0),2)),5,0)</f>
        <v>0600</v>
      </c>
      <c r="J17" s="1" t="b">
        <f t="shared" si="0"/>
        <v>0</v>
      </c>
      <c r="K17" s="1" t="str">
        <f ca="1">LEFT(Table2[[#This Row],[VarType:]],2)</f>
        <v>06</v>
      </c>
      <c r="L17" s="1" t="b">
        <f ca="1">HEX2DEC(Table2[[#This Row],[VarType:]])&gt;=HEX2DEC(VT_Stuff!$C$37)</f>
        <v>0</v>
      </c>
    </row>
    <row r="18" spans="1:12" hidden="1" x14ac:dyDescent="0.55000000000000004">
      <c r="A18" s="3" t="s">
        <v>38</v>
      </c>
      <c r="B18" s="3" t="s">
        <v>71</v>
      </c>
      <c r="C18" s="1" t="str">
        <f>IF(MOD(ROW(),6 )= 2,Table2[[#This Row],[Titel]],C17)</f>
        <v>Currency</v>
      </c>
      <c r="D18" t="str">
        <f>VLOOKUP(Table2[[#This Row],[Type]],Table2[[Titel]:[Values]],2,FALSE)</f>
        <v>3.1479</v>
      </c>
      <c r="E18" t="str">
        <f ca="1">OFFSET(INDIRECT(ADDRESS(MATCH(Table2[[#This Row],[Type]],Table2[Titel],0),2)),2,0)</f>
        <v>0600 0000 0000 0000 F77A 0000 0000 0000</v>
      </c>
      <c r="F18" t="s">
        <v>131</v>
      </c>
      <c r="G18" t="str">
        <f ca="1">OFFSET(INDIRECT(ADDRESS(MATCH(Table2[[#This Row],[Type]],Table2[Titel],0),2)),3,0)</f>
        <v>00 00 00 00 00 00</v>
      </c>
      <c r="H18" t="str">
        <f ca="1">OFFSET(INDIRECT(ADDRESS(MATCH(Table2[[#This Row],[Type]],Table2[Titel],0),2)),4,0)</f>
        <v>00 00 00 00 00 00 7A F7</v>
      </c>
      <c r="I18" t="str">
        <f ca="1">OFFSET(INDIRECT(ADDRESS(MATCH(Table2[[#This Row],[Type]],Table2[Titel],0),2)),5,0)</f>
        <v>0600</v>
      </c>
      <c r="J18" s="1" t="b">
        <f t="shared" si="0"/>
        <v>0</v>
      </c>
      <c r="K18" s="1" t="str">
        <f ca="1">LEFT(Table2[[#This Row],[VarType:]],2)</f>
        <v>06</v>
      </c>
      <c r="L18" s="1" t="b">
        <f ca="1">HEX2DEC(Table2[[#This Row],[VarType:]])&gt;=HEX2DEC(VT_Stuff!$C$37)</f>
        <v>0</v>
      </c>
    </row>
    <row r="19" spans="1:12" hidden="1" x14ac:dyDescent="0.55000000000000004">
      <c r="C19" s="1" t="str">
        <f>IF(MOD(ROW(),6 )= 2,Table2[[#This Row],[Titel]],C18)</f>
        <v>Currency</v>
      </c>
      <c r="D19" t="str">
        <f>VLOOKUP(Table2[[#This Row],[Type]],Table2[[Titel]:[Values]],2,FALSE)</f>
        <v>3.1479</v>
      </c>
      <c r="E19" t="str">
        <f ca="1">OFFSET(INDIRECT(ADDRESS(MATCH(Table2[[#This Row],[Type]],Table2[Titel],0),2)),2,0)</f>
        <v>0600 0000 0000 0000 F77A 0000 0000 0000</v>
      </c>
      <c r="F19" t="s">
        <v>131</v>
      </c>
      <c r="G19" t="str">
        <f ca="1">OFFSET(INDIRECT(ADDRESS(MATCH(Table2[[#This Row],[Type]],Table2[Titel],0),2)),3,0)</f>
        <v>00 00 00 00 00 00</v>
      </c>
      <c r="H19" t="str">
        <f ca="1">OFFSET(INDIRECT(ADDRESS(MATCH(Table2[[#This Row],[Type]],Table2[Titel],0),2)),4,0)</f>
        <v>00 00 00 00 00 00 7A F7</v>
      </c>
      <c r="I19" t="str">
        <f ca="1">OFFSET(INDIRECT(ADDRESS(MATCH(Table2[[#This Row],[Type]],Table2[Titel],0),2)),5,0)</f>
        <v>0600</v>
      </c>
      <c r="J19" s="1" t="b">
        <f t="shared" si="0"/>
        <v>0</v>
      </c>
      <c r="K19" s="1" t="str">
        <f ca="1">LEFT(Table2[[#This Row],[VarType:]],2)</f>
        <v>06</v>
      </c>
      <c r="L19" s="1" t="b">
        <f ca="1">HEX2DEC(Table2[[#This Row],[VarType:]])&gt;=HEX2DEC(VT_Stuff!$C$37)</f>
        <v>0</v>
      </c>
    </row>
    <row r="20" spans="1:12" x14ac:dyDescent="0.55000000000000004">
      <c r="A20" s="3" t="s">
        <v>46</v>
      </c>
      <c r="B20" s="3" t="s">
        <v>72</v>
      </c>
      <c r="C20" s="4" t="str">
        <f>IF(MOD(ROW(),6 )= 2,Table2[[#This Row],[Titel]],C19)</f>
        <v>Date</v>
      </c>
      <c r="D20" t="str">
        <f>VLOOKUP(Table2[[#This Row],[Type]],Table2[[Titel]:[Values]],2,FALSE)</f>
        <v>02/01/1900 03:32:55</v>
      </c>
      <c r="E20" t="str">
        <f ca="1">OFFSET(INDIRECT(ADDRESS(MATCH(Table2[[#This Row],[Type]],Table2[Titel],0),2)),2,0)</f>
        <v>0700 0000 0000 0000 9CE0 9BA6 CF2E 0940</v>
      </c>
      <c r="F20" t="s">
        <v>47</v>
      </c>
      <c r="G20" t="str">
        <f ca="1">OFFSET(INDIRECT(ADDRESS(MATCH(Table2[[#This Row],[Type]],Table2[Titel],0),2)),3,0)</f>
        <v>00 00 00 00 00 00</v>
      </c>
      <c r="H20" t="str">
        <f ca="1">OFFSET(INDIRECT(ADDRESS(MATCH(Table2[[#This Row],[Type]],Table2[Titel],0),2)),4,0)</f>
        <v>40 09 2E CF A6 9B E0 9C</v>
      </c>
      <c r="I20" t="str">
        <f ca="1">OFFSET(INDIRECT(ADDRESS(MATCH(Table2[[#This Row],[Type]],Table2[Titel],0),2)),5,0)</f>
        <v>0700</v>
      </c>
      <c r="J20" s="1" t="b">
        <f t="shared" si="0"/>
        <v>1</v>
      </c>
      <c r="K20" s="1" t="str">
        <f ca="1">LEFT(Table2[[#This Row],[VarType:]],2)</f>
        <v>07</v>
      </c>
      <c r="L20" s="1"/>
    </row>
    <row r="21" spans="1:12" hidden="1" x14ac:dyDescent="0.55000000000000004">
      <c r="A21" s="3" t="s">
        <v>32</v>
      </c>
      <c r="B21" s="3" t="s">
        <v>47</v>
      </c>
      <c r="C21" s="1" t="str">
        <f>IF(MOD(ROW(),6 )= 2,Table2[[#This Row],[Titel]],C20)</f>
        <v>Date</v>
      </c>
      <c r="D21" t="str">
        <f>VLOOKUP(Table2[[#This Row],[Type]],Table2[[Titel]:[Values]],2,FALSE)</f>
        <v>02/01/1900 03:32:55</v>
      </c>
      <c r="E21" t="str">
        <f ca="1">OFFSET(INDIRECT(ADDRESS(MATCH(Table2[[#This Row],[Type]],Table2[Titel],0),2)),2,0)</f>
        <v>0700 0000 0000 0000 9CE0 9BA6 CF2E 0940</v>
      </c>
      <c r="F21" t="s">
        <v>131</v>
      </c>
      <c r="G21" t="str">
        <f ca="1">OFFSET(INDIRECT(ADDRESS(MATCH(Table2[[#This Row],[Type]],Table2[Titel],0),2)),3,0)</f>
        <v>00 00 00 00 00 00</v>
      </c>
      <c r="H21" t="str">
        <f ca="1">OFFSET(INDIRECT(ADDRESS(MATCH(Table2[[#This Row],[Type]],Table2[Titel],0),2)),4,0)</f>
        <v>40 09 2E CF A6 9B E0 9C</v>
      </c>
      <c r="I21" t="str">
        <f ca="1">OFFSET(INDIRECT(ADDRESS(MATCH(Table2[[#This Row],[Type]],Table2[Titel],0),2)),5,0)</f>
        <v>0700</v>
      </c>
      <c r="J21" s="1" t="b">
        <f t="shared" si="0"/>
        <v>0</v>
      </c>
      <c r="K21" s="1" t="str">
        <f ca="1">LEFT(Table2[[#This Row],[VarType:]],2)</f>
        <v>07</v>
      </c>
      <c r="L21" s="1" t="b">
        <f ca="1">HEX2DEC(Table2[[#This Row],[VarType:]])&gt;=HEX2DEC(VT_Stuff!$C$37)</f>
        <v>0</v>
      </c>
    </row>
    <row r="22" spans="1:12" hidden="1" x14ac:dyDescent="0.55000000000000004">
      <c r="A22" s="3" t="s">
        <v>34</v>
      </c>
      <c r="B22" s="3" t="s">
        <v>35</v>
      </c>
      <c r="C22" s="1" t="str">
        <f>IF(MOD(ROW(),6 )= 2,Table2[[#This Row],[Titel]],C21)</f>
        <v>Date</v>
      </c>
      <c r="D22" t="str">
        <f>VLOOKUP(Table2[[#This Row],[Type]],Table2[[Titel]:[Values]],2,FALSE)</f>
        <v>02/01/1900 03:32:55</v>
      </c>
      <c r="E22" t="str">
        <f ca="1">OFFSET(INDIRECT(ADDRESS(MATCH(Table2[[#This Row],[Type]],Table2[Titel],0),2)),2,0)</f>
        <v>0700 0000 0000 0000 9CE0 9BA6 CF2E 0940</v>
      </c>
      <c r="F22" t="s">
        <v>131</v>
      </c>
      <c r="G22" t="str">
        <f ca="1">OFFSET(INDIRECT(ADDRESS(MATCH(Table2[[#This Row],[Type]],Table2[Titel],0),2)),3,0)</f>
        <v>00 00 00 00 00 00</v>
      </c>
      <c r="H22" t="str">
        <f ca="1">OFFSET(INDIRECT(ADDRESS(MATCH(Table2[[#This Row],[Type]],Table2[Titel],0),2)),4,0)</f>
        <v>40 09 2E CF A6 9B E0 9C</v>
      </c>
      <c r="I22" t="str">
        <f ca="1">OFFSET(INDIRECT(ADDRESS(MATCH(Table2[[#This Row],[Type]],Table2[Titel],0),2)),5,0)</f>
        <v>0700</v>
      </c>
      <c r="J22" s="1" t="b">
        <f t="shared" si="0"/>
        <v>0</v>
      </c>
      <c r="K22" s="1" t="str">
        <f ca="1">LEFT(Table2[[#This Row],[VarType:]],2)</f>
        <v>07</v>
      </c>
      <c r="L22" s="1" t="b">
        <f ca="1">HEX2DEC(Table2[[#This Row],[VarType:]])&gt;=HEX2DEC(VT_Stuff!$C$37)</f>
        <v>0</v>
      </c>
    </row>
    <row r="23" spans="1:12" hidden="1" x14ac:dyDescent="0.55000000000000004">
      <c r="A23" s="3" t="s">
        <v>36</v>
      </c>
      <c r="B23" s="3" t="s">
        <v>48</v>
      </c>
      <c r="C23" s="1" t="str">
        <f>IF(MOD(ROW(),6 )= 2,Table2[[#This Row],[Titel]],C22)</f>
        <v>Date</v>
      </c>
      <c r="D23" t="str">
        <f>VLOOKUP(Table2[[#This Row],[Type]],Table2[[Titel]:[Values]],2,FALSE)</f>
        <v>02/01/1900 03:32:55</v>
      </c>
      <c r="E23" t="str">
        <f ca="1">OFFSET(INDIRECT(ADDRESS(MATCH(Table2[[#This Row],[Type]],Table2[Titel],0),2)),2,0)</f>
        <v>0700 0000 0000 0000 9CE0 9BA6 CF2E 0940</v>
      </c>
      <c r="F23" t="s">
        <v>131</v>
      </c>
      <c r="G23" t="str">
        <f ca="1">OFFSET(INDIRECT(ADDRESS(MATCH(Table2[[#This Row],[Type]],Table2[Titel],0),2)),3,0)</f>
        <v>00 00 00 00 00 00</v>
      </c>
      <c r="H23" t="str">
        <f ca="1">OFFSET(INDIRECT(ADDRESS(MATCH(Table2[[#This Row],[Type]],Table2[Titel],0),2)),4,0)</f>
        <v>40 09 2E CF A6 9B E0 9C</v>
      </c>
      <c r="I23" t="str">
        <f ca="1">OFFSET(INDIRECT(ADDRESS(MATCH(Table2[[#This Row],[Type]],Table2[Titel],0),2)),5,0)</f>
        <v>0700</v>
      </c>
      <c r="J23" s="1" t="b">
        <f t="shared" si="0"/>
        <v>0</v>
      </c>
      <c r="K23" s="1" t="str">
        <f ca="1">LEFT(Table2[[#This Row],[VarType:]],2)</f>
        <v>07</v>
      </c>
      <c r="L23" s="1" t="b">
        <f ca="1">HEX2DEC(Table2[[#This Row],[VarType:]])&gt;=HEX2DEC(VT_Stuff!$C$37)</f>
        <v>0</v>
      </c>
    </row>
    <row r="24" spans="1:12" hidden="1" x14ac:dyDescent="0.55000000000000004">
      <c r="A24" s="3" t="s">
        <v>38</v>
      </c>
      <c r="B24" s="3" t="s">
        <v>73</v>
      </c>
      <c r="C24" s="1" t="str">
        <f>IF(MOD(ROW(),6 )= 2,Table2[[#This Row],[Titel]],C23)</f>
        <v>Date</v>
      </c>
      <c r="D24" t="str">
        <f>VLOOKUP(Table2[[#This Row],[Type]],Table2[[Titel]:[Values]],2,FALSE)</f>
        <v>02/01/1900 03:32:55</v>
      </c>
      <c r="E24" t="str">
        <f ca="1">OFFSET(INDIRECT(ADDRESS(MATCH(Table2[[#This Row],[Type]],Table2[Titel],0),2)),2,0)</f>
        <v>0700 0000 0000 0000 9CE0 9BA6 CF2E 0940</v>
      </c>
      <c r="F24" t="s">
        <v>131</v>
      </c>
      <c r="G24" t="str">
        <f ca="1">OFFSET(INDIRECT(ADDRESS(MATCH(Table2[[#This Row],[Type]],Table2[Titel],0),2)),3,0)</f>
        <v>00 00 00 00 00 00</v>
      </c>
      <c r="H24" t="str">
        <f ca="1">OFFSET(INDIRECT(ADDRESS(MATCH(Table2[[#This Row],[Type]],Table2[Titel],0),2)),4,0)</f>
        <v>40 09 2E CF A6 9B E0 9C</v>
      </c>
      <c r="I24" t="str">
        <f ca="1">OFFSET(INDIRECT(ADDRESS(MATCH(Table2[[#This Row],[Type]],Table2[Titel],0),2)),5,0)</f>
        <v>0700</v>
      </c>
      <c r="J24" s="1" t="b">
        <f t="shared" si="0"/>
        <v>0</v>
      </c>
      <c r="K24" s="1" t="str">
        <f ca="1">LEFT(Table2[[#This Row],[VarType:]],2)</f>
        <v>07</v>
      </c>
      <c r="L24" s="1" t="b">
        <f ca="1">HEX2DEC(Table2[[#This Row],[VarType:]])&gt;=HEX2DEC(VT_Stuff!$C$37)</f>
        <v>0</v>
      </c>
    </row>
    <row r="25" spans="1:12" hidden="1" x14ac:dyDescent="0.55000000000000004">
      <c r="C25" s="1" t="str">
        <f>IF(MOD(ROW(),6 )= 2,Table2[[#This Row],[Titel]],C24)</f>
        <v>Date</v>
      </c>
      <c r="D25" t="str">
        <f>VLOOKUP(Table2[[#This Row],[Type]],Table2[[Titel]:[Values]],2,FALSE)</f>
        <v>02/01/1900 03:32:55</v>
      </c>
      <c r="E25" t="str">
        <f ca="1">OFFSET(INDIRECT(ADDRESS(MATCH(Table2[[#This Row],[Type]],Table2[Titel],0),2)),2,0)</f>
        <v>0700 0000 0000 0000 9CE0 9BA6 CF2E 0940</v>
      </c>
      <c r="F25" t="s">
        <v>131</v>
      </c>
      <c r="G25" t="str">
        <f ca="1">OFFSET(INDIRECT(ADDRESS(MATCH(Table2[[#This Row],[Type]],Table2[Titel],0),2)),3,0)</f>
        <v>00 00 00 00 00 00</v>
      </c>
      <c r="H25" t="str">
        <f ca="1">OFFSET(INDIRECT(ADDRESS(MATCH(Table2[[#This Row],[Type]],Table2[Titel],0),2)),4,0)</f>
        <v>40 09 2E CF A6 9B E0 9C</v>
      </c>
      <c r="I25" t="str">
        <f ca="1">OFFSET(INDIRECT(ADDRESS(MATCH(Table2[[#This Row],[Type]],Table2[Titel],0),2)),5,0)</f>
        <v>0700</v>
      </c>
      <c r="J25" s="1" t="b">
        <f t="shared" si="0"/>
        <v>0</v>
      </c>
      <c r="K25" s="1" t="str">
        <f ca="1">LEFT(Table2[[#This Row],[VarType:]],2)</f>
        <v>07</v>
      </c>
      <c r="L25" s="1" t="b">
        <f ca="1">HEX2DEC(Table2[[#This Row],[VarType:]])&gt;=HEX2DEC(VT_Stuff!$C$37)</f>
        <v>0</v>
      </c>
    </row>
    <row r="26" spans="1:12" x14ac:dyDescent="0.55000000000000004">
      <c r="A26" s="3" t="s">
        <v>49</v>
      </c>
      <c r="B26" s="3" t="s">
        <v>74</v>
      </c>
      <c r="C26" s="4" t="str">
        <f>IF(MOD(ROW(),6 )= 2,Table2[[#This Row],[Titel]],C25)</f>
        <v>Decimal</v>
      </c>
      <c r="D26" t="str">
        <f>VLOOKUP(Table2[[#This Row],[Type]],Table2[[Titel]:[Values]],2,FALSE)</f>
        <v>3.147857</v>
      </c>
      <c r="E26" t="str">
        <f ca="1">OFFSET(INDIRECT(ADDRESS(MATCH(Table2[[#This Row],[Type]],Table2[Titel],0),2)),2,0)</f>
        <v>0E00 0600 0000 0000 5108 3000 0000 0000</v>
      </c>
      <c r="F26" t="s">
        <v>50</v>
      </c>
      <c r="G26" t="str">
        <f ca="1">OFFSET(INDIRECT(ADDRESS(MATCH(Table2[[#This Row],[Type]],Table2[Titel],0),2)),3,0)</f>
        <v>00 00 00 00 00 06</v>
      </c>
      <c r="H26" t="str">
        <f ca="1">OFFSET(INDIRECT(ADDRESS(MATCH(Table2[[#This Row],[Type]],Table2[Titel],0),2)),4,0)</f>
        <v>00 00 00 00 00 30 08 51</v>
      </c>
      <c r="I26" t="str">
        <f ca="1">OFFSET(INDIRECT(ADDRESS(MATCH(Table2[[#This Row],[Type]],Table2[Titel],0),2)),5,0)</f>
        <v>0E00</v>
      </c>
      <c r="J26" s="1" t="b">
        <f t="shared" si="0"/>
        <v>1</v>
      </c>
      <c r="K26" s="1" t="str">
        <f ca="1">LEFT(Table2[[#This Row],[VarType:]],2)</f>
        <v>0E</v>
      </c>
      <c r="L26" s="1"/>
    </row>
    <row r="27" spans="1:12" hidden="1" x14ac:dyDescent="0.55000000000000004">
      <c r="A27" s="3" t="s">
        <v>32</v>
      </c>
      <c r="B27" s="3" t="s">
        <v>50</v>
      </c>
      <c r="C27" s="1" t="str">
        <f>IF(MOD(ROW(),6 )= 2,Table2[[#This Row],[Titel]],C26)</f>
        <v>Decimal</v>
      </c>
      <c r="D27" t="str">
        <f>VLOOKUP(Table2[[#This Row],[Type]],Table2[[Titel]:[Values]],2,FALSE)</f>
        <v>3.147857</v>
      </c>
      <c r="E27" t="str">
        <f ca="1">OFFSET(INDIRECT(ADDRESS(MATCH(Table2[[#This Row],[Type]],Table2[Titel],0),2)),2,0)</f>
        <v>0E00 0600 0000 0000 5108 3000 0000 0000</v>
      </c>
      <c r="F27" t="s">
        <v>131</v>
      </c>
      <c r="G27" t="str">
        <f ca="1">OFFSET(INDIRECT(ADDRESS(MATCH(Table2[[#This Row],[Type]],Table2[Titel],0),2)),3,0)</f>
        <v>00 00 00 00 00 06</v>
      </c>
      <c r="H27" t="str">
        <f ca="1">OFFSET(INDIRECT(ADDRESS(MATCH(Table2[[#This Row],[Type]],Table2[Titel],0),2)),4,0)</f>
        <v>00 00 00 00 00 30 08 51</v>
      </c>
      <c r="I27" t="str">
        <f ca="1">OFFSET(INDIRECT(ADDRESS(MATCH(Table2[[#This Row],[Type]],Table2[Titel],0),2)),5,0)</f>
        <v>0E00</v>
      </c>
      <c r="J27" s="1" t="b">
        <f t="shared" si="0"/>
        <v>0</v>
      </c>
      <c r="K27" s="1" t="str">
        <f ca="1">LEFT(Table2[[#This Row],[VarType:]],2)</f>
        <v>0E</v>
      </c>
      <c r="L27" s="1" t="b">
        <f ca="1">HEX2DEC(Table2[[#This Row],[VarType:]])&gt;=HEX2DEC(VT_Stuff!$C$37)</f>
        <v>0</v>
      </c>
    </row>
    <row r="28" spans="1:12" hidden="1" x14ac:dyDescent="0.55000000000000004">
      <c r="A28" s="3" t="s">
        <v>34</v>
      </c>
      <c r="B28" s="3" t="s">
        <v>51</v>
      </c>
      <c r="C28" s="1" t="str">
        <f>IF(MOD(ROW(),6 )= 2,Table2[[#This Row],[Titel]],C27)</f>
        <v>Decimal</v>
      </c>
      <c r="D28" t="str">
        <f>VLOOKUP(Table2[[#This Row],[Type]],Table2[[Titel]:[Values]],2,FALSE)</f>
        <v>3.147857</v>
      </c>
      <c r="E28" t="str">
        <f ca="1">OFFSET(INDIRECT(ADDRESS(MATCH(Table2[[#This Row],[Type]],Table2[Titel],0),2)),2,0)</f>
        <v>0E00 0600 0000 0000 5108 3000 0000 0000</v>
      </c>
      <c r="F28" t="s">
        <v>131</v>
      </c>
      <c r="G28" t="str">
        <f ca="1">OFFSET(INDIRECT(ADDRESS(MATCH(Table2[[#This Row],[Type]],Table2[Titel],0),2)),3,0)</f>
        <v>00 00 00 00 00 06</v>
      </c>
      <c r="H28" t="str">
        <f ca="1">OFFSET(INDIRECT(ADDRESS(MATCH(Table2[[#This Row],[Type]],Table2[Titel],0),2)),4,0)</f>
        <v>00 00 00 00 00 30 08 51</v>
      </c>
      <c r="I28" t="str">
        <f ca="1">OFFSET(INDIRECT(ADDRESS(MATCH(Table2[[#This Row],[Type]],Table2[Titel],0),2)),5,0)</f>
        <v>0E00</v>
      </c>
      <c r="J28" s="1" t="b">
        <f t="shared" si="0"/>
        <v>0</v>
      </c>
      <c r="K28" s="1" t="str">
        <f ca="1">LEFT(Table2[[#This Row],[VarType:]],2)</f>
        <v>0E</v>
      </c>
      <c r="L28" s="1" t="b">
        <f ca="1">HEX2DEC(Table2[[#This Row],[VarType:]])&gt;=HEX2DEC(VT_Stuff!$C$37)</f>
        <v>0</v>
      </c>
    </row>
    <row r="29" spans="1:12" hidden="1" x14ac:dyDescent="0.55000000000000004">
      <c r="A29" s="3" t="s">
        <v>36</v>
      </c>
      <c r="B29" s="3" t="s">
        <v>52</v>
      </c>
      <c r="C29" s="1" t="str">
        <f>IF(MOD(ROW(),6 )= 2,Table2[[#This Row],[Titel]],C28)</f>
        <v>Decimal</v>
      </c>
      <c r="D29" t="str">
        <f>VLOOKUP(Table2[[#This Row],[Type]],Table2[[Titel]:[Values]],2,FALSE)</f>
        <v>3.147857</v>
      </c>
      <c r="E29" t="str">
        <f ca="1">OFFSET(INDIRECT(ADDRESS(MATCH(Table2[[#This Row],[Type]],Table2[Titel],0),2)),2,0)</f>
        <v>0E00 0600 0000 0000 5108 3000 0000 0000</v>
      </c>
      <c r="F29" t="s">
        <v>131</v>
      </c>
      <c r="G29" t="str">
        <f ca="1">OFFSET(INDIRECT(ADDRESS(MATCH(Table2[[#This Row],[Type]],Table2[Titel],0),2)),3,0)</f>
        <v>00 00 00 00 00 06</v>
      </c>
      <c r="H29" t="str">
        <f ca="1">OFFSET(INDIRECT(ADDRESS(MATCH(Table2[[#This Row],[Type]],Table2[Titel],0),2)),4,0)</f>
        <v>00 00 00 00 00 30 08 51</v>
      </c>
      <c r="I29" t="str">
        <f ca="1">OFFSET(INDIRECT(ADDRESS(MATCH(Table2[[#This Row],[Type]],Table2[Titel],0),2)),5,0)</f>
        <v>0E00</v>
      </c>
      <c r="J29" s="1" t="b">
        <f t="shared" si="0"/>
        <v>0</v>
      </c>
      <c r="K29" s="1" t="str">
        <f ca="1">LEFT(Table2[[#This Row],[VarType:]],2)</f>
        <v>0E</v>
      </c>
      <c r="L29" s="1" t="b">
        <f ca="1">HEX2DEC(Table2[[#This Row],[VarType:]])&gt;=HEX2DEC(VT_Stuff!$C$37)</f>
        <v>0</v>
      </c>
    </row>
    <row r="30" spans="1:12" hidden="1" x14ac:dyDescent="0.55000000000000004">
      <c r="A30" s="3" t="s">
        <v>38</v>
      </c>
      <c r="B30" s="3" t="s">
        <v>75</v>
      </c>
      <c r="C30" s="1" t="str">
        <f>IF(MOD(ROW(),6 )= 2,Table2[[#This Row],[Titel]],C29)</f>
        <v>Decimal</v>
      </c>
      <c r="D30" t="str">
        <f>VLOOKUP(Table2[[#This Row],[Type]],Table2[[Titel]:[Values]],2,FALSE)</f>
        <v>3.147857</v>
      </c>
      <c r="E30" t="str">
        <f ca="1">OFFSET(INDIRECT(ADDRESS(MATCH(Table2[[#This Row],[Type]],Table2[Titel],0),2)),2,0)</f>
        <v>0E00 0600 0000 0000 5108 3000 0000 0000</v>
      </c>
      <c r="F30" t="s">
        <v>131</v>
      </c>
      <c r="G30" t="str">
        <f ca="1">OFFSET(INDIRECT(ADDRESS(MATCH(Table2[[#This Row],[Type]],Table2[Titel],0),2)),3,0)</f>
        <v>00 00 00 00 00 06</v>
      </c>
      <c r="H30" t="str">
        <f ca="1">OFFSET(INDIRECT(ADDRESS(MATCH(Table2[[#This Row],[Type]],Table2[Titel],0),2)),4,0)</f>
        <v>00 00 00 00 00 30 08 51</v>
      </c>
      <c r="I30" t="str">
        <f ca="1">OFFSET(INDIRECT(ADDRESS(MATCH(Table2[[#This Row],[Type]],Table2[Titel],0),2)),5,0)</f>
        <v>0E00</v>
      </c>
      <c r="J30" s="1" t="b">
        <f t="shared" si="0"/>
        <v>0</v>
      </c>
      <c r="K30" s="1" t="str">
        <f ca="1">LEFT(Table2[[#This Row],[VarType:]],2)</f>
        <v>0E</v>
      </c>
      <c r="L30" s="1" t="b">
        <f ca="1">HEX2DEC(Table2[[#This Row],[VarType:]])&gt;=HEX2DEC(VT_Stuff!$C$37)</f>
        <v>0</v>
      </c>
    </row>
    <row r="31" spans="1:12" hidden="1" x14ac:dyDescent="0.55000000000000004">
      <c r="C31" s="1" t="str">
        <f>IF(MOD(ROW(),6 )= 2,Table2[[#This Row],[Titel]],C30)</f>
        <v>Decimal</v>
      </c>
      <c r="D31" t="str">
        <f>VLOOKUP(Table2[[#This Row],[Type]],Table2[[Titel]:[Values]],2,FALSE)</f>
        <v>3.147857</v>
      </c>
      <c r="E31" t="str">
        <f ca="1">OFFSET(INDIRECT(ADDRESS(MATCH(Table2[[#This Row],[Type]],Table2[Titel],0),2)),2,0)</f>
        <v>0E00 0600 0000 0000 5108 3000 0000 0000</v>
      </c>
      <c r="F31" t="s">
        <v>131</v>
      </c>
      <c r="G31" t="str">
        <f ca="1">OFFSET(INDIRECT(ADDRESS(MATCH(Table2[[#This Row],[Type]],Table2[Titel],0),2)),3,0)</f>
        <v>00 00 00 00 00 06</v>
      </c>
      <c r="H31" t="str">
        <f ca="1">OFFSET(INDIRECT(ADDRESS(MATCH(Table2[[#This Row],[Type]],Table2[Titel],0),2)),4,0)</f>
        <v>00 00 00 00 00 30 08 51</v>
      </c>
      <c r="I31" t="str">
        <f ca="1">OFFSET(INDIRECT(ADDRESS(MATCH(Table2[[#This Row],[Type]],Table2[Titel],0),2)),5,0)</f>
        <v>0E00</v>
      </c>
      <c r="J31" s="1" t="b">
        <f t="shared" si="0"/>
        <v>0</v>
      </c>
      <c r="K31" s="1" t="str">
        <f ca="1">LEFT(Table2[[#This Row],[VarType:]],2)</f>
        <v>0E</v>
      </c>
      <c r="L31" s="1" t="b">
        <f ca="1">HEX2DEC(Table2[[#This Row],[VarType:]])&gt;=HEX2DEC(VT_Stuff!$C$37)</f>
        <v>0</v>
      </c>
    </row>
    <row r="32" spans="1:12" x14ac:dyDescent="0.55000000000000004">
      <c r="A32" s="3" t="s">
        <v>53</v>
      </c>
      <c r="B32" s="3" t="s">
        <v>74</v>
      </c>
      <c r="C32" s="4" t="str">
        <f>IF(MOD(ROW(),6 )= 2,Table2[[#This Row],[Titel]],C31)</f>
        <v>Double</v>
      </c>
      <c r="D32" t="str">
        <f>VLOOKUP(Table2[[#This Row],[Type]],Table2[[Titel]:[Values]],2,FALSE)</f>
        <v>3.147857</v>
      </c>
      <c r="E32" t="str">
        <f ca="1">OFFSET(INDIRECT(ADDRESS(MATCH(Table2[[#This Row],[Type]],Table2[Titel],0),2)),2,0)</f>
        <v>0500 0000 0000 0000 9CE0 9BA6 CF2E 0940</v>
      </c>
      <c r="F32" t="s">
        <v>54</v>
      </c>
      <c r="G32" t="str">
        <f ca="1">OFFSET(INDIRECT(ADDRESS(MATCH(Table2[[#This Row],[Type]],Table2[Titel],0),2)),3,0)</f>
        <v>00 00 00 00 00 00</v>
      </c>
      <c r="H32" t="str">
        <f ca="1">OFFSET(INDIRECT(ADDRESS(MATCH(Table2[[#This Row],[Type]],Table2[Titel],0),2)),4,0)</f>
        <v>40 09 2E CF A6 9B E0 9C</v>
      </c>
      <c r="I32" t="str">
        <f ca="1">OFFSET(INDIRECT(ADDRESS(MATCH(Table2[[#This Row],[Type]],Table2[Titel],0),2)),5,0)</f>
        <v>0500</v>
      </c>
      <c r="J32" s="1" t="b">
        <f t="shared" si="0"/>
        <v>1</v>
      </c>
      <c r="K32" s="1" t="str">
        <f ca="1">LEFT(Table2[[#This Row],[VarType:]],2)</f>
        <v>05</v>
      </c>
      <c r="L32" s="1"/>
    </row>
    <row r="33" spans="1:12" hidden="1" x14ac:dyDescent="0.55000000000000004">
      <c r="A33" s="3" t="s">
        <v>32</v>
      </c>
      <c r="B33" s="3" t="s">
        <v>54</v>
      </c>
      <c r="C33" s="1" t="str">
        <f>IF(MOD(ROW(),6 )= 2,Table2[[#This Row],[Titel]],C32)</f>
        <v>Double</v>
      </c>
      <c r="D33" t="str">
        <f>VLOOKUP(Table2[[#This Row],[Type]],Table2[[Titel]:[Values]],2,FALSE)</f>
        <v>3.147857</v>
      </c>
      <c r="E33" t="str">
        <f ca="1">OFFSET(INDIRECT(ADDRESS(MATCH(Table2[[#This Row],[Type]],Table2[Titel],0),2)),2,0)</f>
        <v>0500 0000 0000 0000 9CE0 9BA6 CF2E 0940</v>
      </c>
      <c r="F33" t="s">
        <v>131</v>
      </c>
      <c r="G33" t="str">
        <f ca="1">OFFSET(INDIRECT(ADDRESS(MATCH(Table2[[#This Row],[Type]],Table2[Titel],0),2)),3,0)</f>
        <v>00 00 00 00 00 00</v>
      </c>
      <c r="H33" t="str">
        <f ca="1">OFFSET(INDIRECT(ADDRESS(MATCH(Table2[[#This Row],[Type]],Table2[Titel],0),2)),4,0)</f>
        <v>40 09 2E CF A6 9B E0 9C</v>
      </c>
      <c r="I33" t="str">
        <f ca="1">OFFSET(INDIRECT(ADDRESS(MATCH(Table2[[#This Row],[Type]],Table2[Titel],0),2)),5,0)</f>
        <v>0500</v>
      </c>
      <c r="J33" s="1" t="b">
        <f t="shared" si="0"/>
        <v>0</v>
      </c>
      <c r="K33" s="1" t="str">
        <f ca="1">LEFT(Table2[[#This Row],[VarType:]],2)</f>
        <v>05</v>
      </c>
      <c r="L33" s="1" t="b">
        <f ca="1">HEX2DEC(Table2[[#This Row],[VarType:]])&gt;=HEX2DEC(VT_Stuff!$C$37)</f>
        <v>0</v>
      </c>
    </row>
    <row r="34" spans="1:12" hidden="1" x14ac:dyDescent="0.55000000000000004">
      <c r="A34" s="3" t="s">
        <v>34</v>
      </c>
      <c r="B34" s="3" t="s">
        <v>35</v>
      </c>
      <c r="C34" s="1" t="str">
        <f>IF(MOD(ROW(),6 )= 2,Table2[[#This Row],[Titel]],C33)</f>
        <v>Double</v>
      </c>
      <c r="D34" t="str">
        <f>VLOOKUP(Table2[[#This Row],[Type]],Table2[[Titel]:[Values]],2,FALSE)</f>
        <v>3.147857</v>
      </c>
      <c r="E34" t="str">
        <f ca="1">OFFSET(INDIRECT(ADDRESS(MATCH(Table2[[#This Row],[Type]],Table2[Titel],0),2)),2,0)</f>
        <v>0500 0000 0000 0000 9CE0 9BA6 CF2E 0940</v>
      </c>
      <c r="F34" t="s">
        <v>131</v>
      </c>
      <c r="G34" t="str">
        <f ca="1">OFFSET(INDIRECT(ADDRESS(MATCH(Table2[[#This Row],[Type]],Table2[Titel],0),2)),3,0)</f>
        <v>00 00 00 00 00 00</v>
      </c>
      <c r="H34" t="str">
        <f ca="1">OFFSET(INDIRECT(ADDRESS(MATCH(Table2[[#This Row],[Type]],Table2[Titel],0),2)),4,0)</f>
        <v>40 09 2E CF A6 9B E0 9C</v>
      </c>
      <c r="I34" t="str">
        <f ca="1">OFFSET(INDIRECT(ADDRESS(MATCH(Table2[[#This Row],[Type]],Table2[Titel],0),2)),5,0)</f>
        <v>0500</v>
      </c>
      <c r="J34" s="1" t="b">
        <f t="shared" ref="J34:J65" si="1">MOD(ROW(),6) = 2</f>
        <v>0</v>
      </c>
      <c r="K34" s="1" t="str">
        <f ca="1">LEFT(Table2[[#This Row],[VarType:]],2)</f>
        <v>05</v>
      </c>
      <c r="L34" s="1" t="b">
        <f ca="1">HEX2DEC(Table2[[#This Row],[VarType:]])&gt;=HEX2DEC(VT_Stuff!$C$37)</f>
        <v>0</v>
      </c>
    </row>
    <row r="35" spans="1:12" hidden="1" x14ac:dyDescent="0.55000000000000004">
      <c r="A35" s="3" t="s">
        <v>36</v>
      </c>
      <c r="B35" s="3" t="s">
        <v>48</v>
      </c>
      <c r="C35" s="1" t="str">
        <f>IF(MOD(ROW(),6 )= 2,Table2[[#This Row],[Titel]],C34)</f>
        <v>Double</v>
      </c>
      <c r="D35" t="str">
        <f>VLOOKUP(Table2[[#This Row],[Type]],Table2[[Titel]:[Values]],2,FALSE)</f>
        <v>3.147857</v>
      </c>
      <c r="E35" t="str">
        <f ca="1">OFFSET(INDIRECT(ADDRESS(MATCH(Table2[[#This Row],[Type]],Table2[Titel],0),2)),2,0)</f>
        <v>0500 0000 0000 0000 9CE0 9BA6 CF2E 0940</v>
      </c>
      <c r="F35" t="s">
        <v>131</v>
      </c>
      <c r="G35" t="str">
        <f ca="1">OFFSET(INDIRECT(ADDRESS(MATCH(Table2[[#This Row],[Type]],Table2[Titel],0),2)),3,0)</f>
        <v>00 00 00 00 00 00</v>
      </c>
      <c r="H35" t="str">
        <f ca="1">OFFSET(INDIRECT(ADDRESS(MATCH(Table2[[#This Row],[Type]],Table2[Titel],0),2)),4,0)</f>
        <v>40 09 2E CF A6 9B E0 9C</v>
      </c>
      <c r="I35" t="str">
        <f ca="1">OFFSET(INDIRECT(ADDRESS(MATCH(Table2[[#This Row],[Type]],Table2[Titel],0),2)),5,0)</f>
        <v>0500</v>
      </c>
      <c r="J35" s="1" t="b">
        <f t="shared" si="1"/>
        <v>0</v>
      </c>
      <c r="K35" s="1" t="str">
        <f ca="1">LEFT(Table2[[#This Row],[VarType:]],2)</f>
        <v>05</v>
      </c>
      <c r="L35" s="1" t="b">
        <f ca="1">HEX2DEC(Table2[[#This Row],[VarType:]])&gt;=HEX2DEC(VT_Stuff!$C$37)</f>
        <v>0</v>
      </c>
    </row>
    <row r="36" spans="1:12" hidden="1" x14ac:dyDescent="0.55000000000000004">
      <c r="A36" s="3" t="s">
        <v>38</v>
      </c>
      <c r="B36" s="3" t="s">
        <v>76</v>
      </c>
      <c r="C36" s="1" t="str">
        <f>IF(MOD(ROW(),6 )= 2,Table2[[#This Row],[Titel]],C35)</f>
        <v>Double</v>
      </c>
      <c r="D36" t="str">
        <f>VLOOKUP(Table2[[#This Row],[Type]],Table2[[Titel]:[Values]],2,FALSE)</f>
        <v>3.147857</v>
      </c>
      <c r="E36" t="str">
        <f ca="1">OFFSET(INDIRECT(ADDRESS(MATCH(Table2[[#This Row],[Type]],Table2[Titel],0),2)),2,0)</f>
        <v>0500 0000 0000 0000 9CE0 9BA6 CF2E 0940</v>
      </c>
      <c r="F36" t="s">
        <v>131</v>
      </c>
      <c r="G36" t="str">
        <f ca="1">OFFSET(INDIRECT(ADDRESS(MATCH(Table2[[#This Row],[Type]],Table2[Titel],0),2)),3,0)</f>
        <v>00 00 00 00 00 00</v>
      </c>
      <c r="H36" t="str">
        <f ca="1">OFFSET(INDIRECT(ADDRESS(MATCH(Table2[[#This Row],[Type]],Table2[Titel],0),2)),4,0)</f>
        <v>40 09 2E CF A6 9B E0 9C</v>
      </c>
      <c r="I36" t="str">
        <f ca="1">OFFSET(INDIRECT(ADDRESS(MATCH(Table2[[#This Row],[Type]],Table2[Titel],0),2)),5,0)</f>
        <v>0500</v>
      </c>
      <c r="J36" s="1" t="b">
        <f t="shared" si="1"/>
        <v>0</v>
      </c>
      <c r="K36" s="1" t="str">
        <f ca="1">LEFT(Table2[[#This Row],[VarType:]],2)</f>
        <v>05</v>
      </c>
      <c r="L36" s="1" t="b">
        <f ca="1">HEX2DEC(Table2[[#This Row],[VarType:]])&gt;=HEX2DEC(VT_Stuff!$C$37)</f>
        <v>0</v>
      </c>
    </row>
    <row r="37" spans="1:12" hidden="1" x14ac:dyDescent="0.55000000000000004">
      <c r="C37" s="1" t="str">
        <f>IF(MOD(ROW(),6 )= 2,Table2[[#This Row],[Titel]],C36)</f>
        <v>Double</v>
      </c>
      <c r="D37" t="str">
        <f>VLOOKUP(Table2[[#This Row],[Type]],Table2[[Titel]:[Values]],2,FALSE)</f>
        <v>3.147857</v>
      </c>
      <c r="E37" t="str">
        <f ca="1">OFFSET(INDIRECT(ADDRESS(MATCH(Table2[[#This Row],[Type]],Table2[Titel],0),2)),2,0)</f>
        <v>0500 0000 0000 0000 9CE0 9BA6 CF2E 0940</v>
      </c>
      <c r="F37" t="s">
        <v>131</v>
      </c>
      <c r="G37" t="str">
        <f ca="1">OFFSET(INDIRECT(ADDRESS(MATCH(Table2[[#This Row],[Type]],Table2[Titel],0),2)),3,0)</f>
        <v>00 00 00 00 00 00</v>
      </c>
      <c r="H37" t="str">
        <f ca="1">OFFSET(INDIRECT(ADDRESS(MATCH(Table2[[#This Row],[Type]],Table2[Titel],0),2)),4,0)</f>
        <v>40 09 2E CF A6 9B E0 9C</v>
      </c>
      <c r="I37" t="str">
        <f ca="1">OFFSET(INDIRECT(ADDRESS(MATCH(Table2[[#This Row],[Type]],Table2[Titel],0),2)),5,0)</f>
        <v>0500</v>
      </c>
      <c r="J37" s="1" t="b">
        <f t="shared" si="1"/>
        <v>0</v>
      </c>
      <c r="K37" s="1" t="str">
        <f ca="1">LEFT(Table2[[#This Row],[VarType:]],2)</f>
        <v>05</v>
      </c>
      <c r="L37" s="1" t="b">
        <f ca="1">HEX2DEC(Table2[[#This Row],[VarType:]])&gt;=HEX2DEC(VT_Stuff!$C$37)</f>
        <v>0</v>
      </c>
    </row>
    <row r="38" spans="1:12" x14ac:dyDescent="0.55000000000000004">
      <c r="A38" s="3" t="s">
        <v>55</v>
      </c>
      <c r="B38" s="3" t="s">
        <v>68</v>
      </c>
      <c r="C38" s="4" t="str">
        <f>IF(MOD(ROW(),6 )= 2,Table2[[#This Row],[Titel]],C37)</f>
        <v>Integer</v>
      </c>
      <c r="D38" t="str">
        <f>VLOOKUP(Table2[[#This Row],[Type]],Table2[[Titel]:[Values]],2,FALSE)</f>
        <v>3</v>
      </c>
      <c r="E38" t="str">
        <f ca="1">OFFSET(INDIRECT(ADDRESS(MATCH(Table2[[#This Row],[Type]],Table2[Titel],0),2)),2,0)</f>
        <v>0200 0000 0000 0000 0300 9BA6 CF2E 0940</v>
      </c>
      <c r="F38" t="s">
        <v>132</v>
      </c>
      <c r="G38" t="str">
        <f ca="1">OFFSET(INDIRECT(ADDRESS(MATCH(Table2[[#This Row],[Type]],Table2[Titel],0),2)),3,0)</f>
        <v>00 00 00 00 00 00</v>
      </c>
      <c r="H38" t="str">
        <f ca="1">OFFSET(INDIRECT(ADDRESS(MATCH(Table2[[#This Row],[Type]],Table2[Titel],0),2)),4,0)</f>
        <v>40 09 2E CF A6 9B 00 03</v>
      </c>
      <c r="I38" t="str">
        <f ca="1">OFFSET(INDIRECT(ADDRESS(MATCH(Table2[[#This Row],[Type]],Table2[Titel],0),2)),5,0)</f>
        <v>0200</v>
      </c>
      <c r="J38" s="1" t="b">
        <f t="shared" si="1"/>
        <v>1</v>
      </c>
      <c r="K38" s="1" t="str">
        <f ca="1">LEFT(Table2[[#This Row],[VarType:]],2)</f>
        <v>02</v>
      </c>
      <c r="L38" s="1"/>
    </row>
    <row r="39" spans="1:12" hidden="1" x14ac:dyDescent="0.55000000000000004">
      <c r="A39" s="3" t="s">
        <v>32</v>
      </c>
      <c r="B39" s="3" t="s">
        <v>56</v>
      </c>
      <c r="C39" s="1" t="str">
        <f>IF(MOD(ROW(),6 )= 2,Table2[[#This Row],[Titel]],C38)</f>
        <v>Integer</v>
      </c>
      <c r="D39" t="str">
        <f>VLOOKUP(Table2[[#This Row],[Type]],Table2[[Titel]:[Values]],2,FALSE)</f>
        <v>3</v>
      </c>
      <c r="E39" t="str">
        <f ca="1">OFFSET(INDIRECT(ADDRESS(MATCH(Table2[[#This Row],[Type]],Table2[Titel],0),2)),2,0)</f>
        <v>0200 0000 0000 0000 0300 9BA6 CF2E 0940</v>
      </c>
      <c r="F39" t="s">
        <v>131</v>
      </c>
      <c r="G39" t="str">
        <f ca="1">OFFSET(INDIRECT(ADDRESS(MATCH(Table2[[#This Row],[Type]],Table2[Titel],0),2)),3,0)</f>
        <v>00 00 00 00 00 00</v>
      </c>
      <c r="H39" t="str">
        <f ca="1">OFFSET(INDIRECT(ADDRESS(MATCH(Table2[[#This Row],[Type]],Table2[Titel],0),2)),4,0)</f>
        <v>40 09 2E CF A6 9B 00 03</v>
      </c>
      <c r="I39" t="str">
        <f ca="1">OFFSET(INDIRECT(ADDRESS(MATCH(Table2[[#This Row],[Type]],Table2[Titel],0),2)),5,0)</f>
        <v>0200</v>
      </c>
      <c r="J39" s="1" t="b">
        <f t="shared" si="1"/>
        <v>0</v>
      </c>
      <c r="K39" s="1" t="str">
        <f ca="1">LEFT(Table2[[#This Row],[VarType:]],2)</f>
        <v>02</v>
      </c>
      <c r="L39" s="1" t="b">
        <f ca="1">HEX2DEC(Table2[[#This Row],[VarType:]])&gt;=HEX2DEC(VT_Stuff!$C$37)</f>
        <v>0</v>
      </c>
    </row>
    <row r="40" spans="1:12" hidden="1" x14ac:dyDescent="0.55000000000000004">
      <c r="A40" s="3" t="s">
        <v>34</v>
      </c>
      <c r="B40" s="3" t="s">
        <v>35</v>
      </c>
      <c r="C40" s="1" t="str">
        <f>IF(MOD(ROW(),6 )= 2,Table2[[#This Row],[Titel]],C39)</f>
        <v>Integer</v>
      </c>
      <c r="D40" t="str">
        <f>VLOOKUP(Table2[[#This Row],[Type]],Table2[[Titel]:[Values]],2,FALSE)</f>
        <v>3</v>
      </c>
      <c r="E40" t="str">
        <f ca="1">OFFSET(INDIRECT(ADDRESS(MATCH(Table2[[#This Row],[Type]],Table2[Titel],0),2)),2,0)</f>
        <v>0200 0000 0000 0000 0300 9BA6 CF2E 0940</v>
      </c>
      <c r="F40" t="s">
        <v>131</v>
      </c>
      <c r="G40" t="str">
        <f ca="1">OFFSET(INDIRECT(ADDRESS(MATCH(Table2[[#This Row],[Type]],Table2[Titel],0),2)),3,0)</f>
        <v>00 00 00 00 00 00</v>
      </c>
      <c r="H40" t="str">
        <f ca="1">OFFSET(INDIRECT(ADDRESS(MATCH(Table2[[#This Row],[Type]],Table2[Titel],0),2)),4,0)</f>
        <v>40 09 2E CF A6 9B 00 03</v>
      </c>
      <c r="I40" t="str">
        <f ca="1">OFFSET(INDIRECT(ADDRESS(MATCH(Table2[[#This Row],[Type]],Table2[Titel],0),2)),5,0)</f>
        <v>0200</v>
      </c>
      <c r="J40" s="1" t="b">
        <f t="shared" si="1"/>
        <v>0</v>
      </c>
      <c r="K40" s="1" t="str">
        <f ca="1">LEFT(Table2[[#This Row],[VarType:]],2)</f>
        <v>02</v>
      </c>
      <c r="L40" s="1" t="b">
        <f ca="1">HEX2DEC(Table2[[#This Row],[VarType:]])&gt;=HEX2DEC(VT_Stuff!$C$37)</f>
        <v>0</v>
      </c>
    </row>
    <row r="41" spans="1:12" hidden="1" x14ac:dyDescent="0.55000000000000004">
      <c r="A41" s="3" t="s">
        <v>36</v>
      </c>
      <c r="B41" s="3" t="s">
        <v>57</v>
      </c>
      <c r="C41" s="1" t="str">
        <f>IF(MOD(ROW(),6 )= 2,Table2[[#This Row],[Titel]],C40)</f>
        <v>Integer</v>
      </c>
      <c r="D41" t="str">
        <f>VLOOKUP(Table2[[#This Row],[Type]],Table2[[Titel]:[Values]],2,FALSE)</f>
        <v>3</v>
      </c>
      <c r="E41" t="str">
        <f ca="1">OFFSET(INDIRECT(ADDRESS(MATCH(Table2[[#This Row],[Type]],Table2[Titel],0),2)),2,0)</f>
        <v>0200 0000 0000 0000 0300 9BA6 CF2E 0940</v>
      </c>
      <c r="F41" t="s">
        <v>131</v>
      </c>
      <c r="G41" t="str">
        <f ca="1">OFFSET(INDIRECT(ADDRESS(MATCH(Table2[[#This Row],[Type]],Table2[Titel],0),2)),3,0)</f>
        <v>00 00 00 00 00 00</v>
      </c>
      <c r="H41" t="str">
        <f ca="1">OFFSET(INDIRECT(ADDRESS(MATCH(Table2[[#This Row],[Type]],Table2[Titel],0),2)),4,0)</f>
        <v>40 09 2E CF A6 9B 00 03</v>
      </c>
      <c r="I41" t="str">
        <f ca="1">OFFSET(INDIRECT(ADDRESS(MATCH(Table2[[#This Row],[Type]],Table2[Titel],0),2)),5,0)</f>
        <v>0200</v>
      </c>
      <c r="J41" s="1" t="b">
        <f t="shared" si="1"/>
        <v>0</v>
      </c>
      <c r="K41" s="1" t="str">
        <f ca="1">LEFT(Table2[[#This Row],[VarType:]],2)</f>
        <v>02</v>
      </c>
      <c r="L41" s="1" t="b">
        <f ca="1">HEX2DEC(Table2[[#This Row],[VarType:]])&gt;=HEX2DEC(VT_Stuff!$C$37)</f>
        <v>0</v>
      </c>
    </row>
    <row r="42" spans="1:12" hidden="1" x14ac:dyDescent="0.55000000000000004">
      <c r="A42" s="3" t="s">
        <v>38</v>
      </c>
      <c r="B42" s="3" t="s">
        <v>77</v>
      </c>
      <c r="C42" s="1" t="str">
        <f>IF(MOD(ROW(),6 )= 2,Table2[[#This Row],[Titel]],C41)</f>
        <v>Integer</v>
      </c>
      <c r="D42" t="str">
        <f>VLOOKUP(Table2[[#This Row],[Type]],Table2[[Titel]:[Values]],2,FALSE)</f>
        <v>3</v>
      </c>
      <c r="E42" t="str">
        <f ca="1">OFFSET(INDIRECT(ADDRESS(MATCH(Table2[[#This Row],[Type]],Table2[Titel],0),2)),2,0)</f>
        <v>0200 0000 0000 0000 0300 9BA6 CF2E 0940</v>
      </c>
      <c r="F42" t="s">
        <v>131</v>
      </c>
      <c r="G42" t="str">
        <f ca="1">OFFSET(INDIRECT(ADDRESS(MATCH(Table2[[#This Row],[Type]],Table2[Titel],0),2)),3,0)</f>
        <v>00 00 00 00 00 00</v>
      </c>
      <c r="H42" t="str">
        <f ca="1">OFFSET(INDIRECT(ADDRESS(MATCH(Table2[[#This Row],[Type]],Table2[Titel],0),2)),4,0)</f>
        <v>40 09 2E CF A6 9B 00 03</v>
      </c>
      <c r="I42" t="str">
        <f ca="1">OFFSET(INDIRECT(ADDRESS(MATCH(Table2[[#This Row],[Type]],Table2[Titel],0),2)),5,0)</f>
        <v>0200</v>
      </c>
      <c r="J42" s="1" t="b">
        <f t="shared" si="1"/>
        <v>0</v>
      </c>
      <c r="K42" s="1" t="str">
        <f ca="1">LEFT(Table2[[#This Row],[VarType:]],2)</f>
        <v>02</v>
      </c>
      <c r="L42" s="1" t="b">
        <f ca="1">HEX2DEC(Table2[[#This Row],[VarType:]])&gt;=HEX2DEC(VT_Stuff!$C$37)</f>
        <v>0</v>
      </c>
    </row>
    <row r="43" spans="1:12" hidden="1" x14ac:dyDescent="0.55000000000000004">
      <c r="C43" s="1" t="str">
        <f>IF(MOD(ROW(),6 )= 2,Table2[[#This Row],[Titel]],C42)</f>
        <v>Integer</v>
      </c>
      <c r="D43" t="str">
        <f>VLOOKUP(Table2[[#This Row],[Type]],Table2[[Titel]:[Values]],2,FALSE)</f>
        <v>3</v>
      </c>
      <c r="E43" t="str">
        <f ca="1">OFFSET(INDIRECT(ADDRESS(MATCH(Table2[[#This Row],[Type]],Table2[Titel],0),2)),2,0)</f>
        <v>0200 0000 0000 0000 0300 9BA6 CF2E 0940</v>
      </c>
      <c r="F43" t="s">
        <v>131</v>
      </c>
      <c r="G43" t="str">
        <f ca="1">OFFSET(INDIRECT(ADDRESS(MATCH(Table2[[#This Row],[Type]],Table2[Titel],0),2)),3,0)</f>
        <v>00 00 00 00 00 00</v>
      </c>
      <c r="H43" t="str">
        <f ca="1">OFFSET(INDIRECT(ADDRESS(MATCH(Table2[[#This Row],[Type]],Table2[Titel],0),2)),4,0)</f>
        <v>40 09 2E CF A6 9B 00 03</v>
      </c>
      <c r="I43" t="str">
        <f ca="1">OFFSET(INDIRECT(ADDRESS(MATCH(Table2[[#This Row],[Type]],Table2[Titel],0),2)),5,0)</f>
        <v>0200</v>
      </c>
      <c r="J43" s="1" t="b">
        <f t="shared" si="1"/>
        <v>0</v>
      </c>
      <c r="K43" s="1" t="str">
        <f ca="1">LEFT(Table2[[#This Row],[VarType:]],2)</f>
        <v>02</v>
      </c>
      <c r="L43" s="1" t="b">
        <f ca="1">HEX2DEC(Table2[[#This Row],[VarType:]])&gt;=HEX2DEC(VT_Stuff!$C$37)</f>
        <v>0</v>
      </c>
    </row>
    <row r="44" spans="1:12" x14ac:dyDescent="0.55000000000000004">
      <c r="A44" s="3" t="s">
        <v>58</v>
      </c>
      <c r="B44" s="3" t="s">
        <v>68</v>
      </c>
      <c r="C44" s="4" t="str">
        <f>IF(MOD(ROW(),6 )= 2,Table2[[#This Row],[Titel]],C43)</f>
        <v>Long</v>
      </c>
      <c r="D44" t="str">
        <f>VLOOKUP(Table2[[#This Row],[Type]],Table2[[Titel]:[Values]],2,FALSE)</f>
        <v>3</v>
      </c>
      <c r="E44" t="str">
        <f ca="1">OFFSET(INDIRECT(ADDRESS(MATCH(Table2[[#This Row],[Type]],Table2[Titel],0),2)),2,0)</f>
        <v>0300 0000 0000 0000 0300 0000 CF2E 0940</v>
      </c>
      <c r="F44" t="s">
        <v>133</v>
      </c>
      <c r="G44" t="str">
        <f ca="1">OFFSET(INDIRECT(ADDRESS(MATCH(Table2[[#This Row],[Type]],Table2[Titel],0),2)),3,0)</f>
        <v>00 00 00 00 00 00</v>
      </c>
      <c r="H44" t="str">
        <f ca="1">OFFSET(INDIRECT(ADDRESS(MATCH(Table2[[#This Row],[Type]],Table2[Titel],0),2)),4,0)</f>
        <v>40 09 2E CF 00 00 00 03</v>
      </c>
      <c r="I44" t="str">
        <f ca="1">OFFSET(INDIRECT(ADDRESS(MATCH(Table2[[#This Row],[Type]],Table2[Titel],0),2)),5,0)</f>
        <v>0300</v>
      </c>
      <c r="J44" s="1" t="b">
        <f t="shared" si="1"/>
        <v>1</v>
      </c>
      <c r="K44" s="1" t="str">
        <f ca="1">LEFT(Table2[[#This Row],[VarType:]],2)</f>
        <v>03</v>
      </c>
      <c r="L44" s="1"/>
    </row>
    <row r="45" spans="1:12" hidden="1" x14ac:dyDescent="0.55000000000000004">
      <c r="A45" s="3" t="s">
        <v>32</v>
      </c>
      <c r="B45" s="3" t="s">
        <v>59</v>
      </c>
      <c r="C45" s="1" t="str">
        <f>IF(MOD(ROW(),6 )= 2,Table2[[#This Row],[Titel]],C44)</f>
        <v>Long</v>
      </c>
      <c r="D45" t="str">
        <f>VLOOKUP(Table2[[#This Row],[Type]],Table2[[Titel]:[Values]],2,FALSE)</f>
        <v>3</v>
      </c>
      <c r="E45" t="str">
        <f ca="1">OFFSET(INDIRECT(ADDRESS(MATCH(Table2[[#This Row],[Type]],Table2[Titel],0),2)),2,0)</f>
        <v>0300 0000 0000 0000 0300 0000 CF2E 0940</v>
      </c>
      <c r="F45" t="s">
        <v>131</v>
      </c>
      <c r="G45" t="str">
        <f ca="1">OFFSET(INDIRECT(ADDRESS(MATCH(Table2[[#This Row],[Type]],Table2[Titel],0),2)),3,0)</f>
        <v>00 00 00 00 00 00</v>
      </c>
      <c r="H45" t="str">
        <f ca="1">OFFSET(INDIRECT(ADDRESS(MATCH(Table2[[#This Row],[Type]],Table2[Titel],0),2)),4,0)</f>
        <v>40 09 2E CF 00 00 00 03</v>
      </c>
      <c r="I45" t="str">
        <f ca="1">OFFSET(INDIRECT(ADDRESS(MATCH(Table2[[#This Row],[Type]],Table2[Titel],0),2)),5,0)</f>
        <v>0300</v>
      </c>
      <c r="J45" s="1" t="b">
        <f t="shared" si="1"/>
        <v>0</v>
      </c>
      <c r="K45" s="1" t="str">
        <f ca="1">LEFT(Table2[[#This Row],[VarType:]],2)</f>
        <v>03</v>
      </c>
      <c r="L45" s="1" t="b">
        <f ca="1">HEX2DEC(Table2[[#This Row],[VarType:]])&gt;=HEX2DEC(VT_Stuff!$C$37)</f>
        <v>0</v>
      </c>
    </row>
    <row r="46" spans="1:12" hidden="1" x14ac:dyDescent="0.55000000000000004">
      <c r="A46" s="3" t="s">
        <v>34</v>
      </c>
      <c r="B46" s="3" t="s">
        <v>35</v>
      </c>
      <c r="C46" s="1" t="str">
        <f>IF(MOD(ROW(),6 )= 2,Table2[[#This Row],[Titel]],C45)</f>
        <v>Long</v>
      </c>
      <c r="D46" t="str">
        <f>VLOOKUP(Table2[[#This Row],[Type]],Table2[[Titel]:[Values]],2,FALSE)</f>
        <v>3</v>
      </c>
      <c r="E46" t="str">
        <f ca="1">OFFSET(INDIRECT(ADDRESS(MATCH(Table2[[#This Row],[Type]],Table2[Titel],0),2)),2,0)</f>
        <v>0300 0000 0000 0000 0300 0000 CF2E 0940</v>
      </c>
      <c r="F46" t="s">
        <v>131</v>
      </c>
      <c r="G46" t="str">
        <f ca="1">OFFSET(INDIRECT(ADDRESS(MATCH(Table2[[#This Row],[Type]],Table2[Titel],0),2)),3,0)</f>
        <v>00 00 00 00 00 00</v>
      </c>
      <c r="H46" t="str">
        <f ca="1">OFFSET(INDIRECT(ADDRESS(MATCH(Table2[[#This Row],[Type]],Table2[Titel],0),2)),4,0)</f>
        <v>40 09 2E CF 00 00 00 03</v>
      </c>
      <c r="I46" t="str">
        <f ca="1">OFFSET(INDIRECT(ADDRESS(MATCH(Table2[[#This Row],[Type]],Table2[Titel],0),2)),5,0)</f>
        <v>0300</v>
      </c>
      <c r="J46" s="1" t="b">
        <f t="shared" si="1"/>
        <v>0</v>
      </c>
      <c r="K46" s="1" t="str">
        <f ca="1">LEFT(Table2[[#This Row],[VarType:]],2)</f>
        <v>03</v>
      </c>
      <c r="L46" s="1" t="b">
        <f ca="1">HEX2DEC(Table2[[#This Row],[VarType:]])&gt;=HEX2DEC(VT_Stuff!$C$37)</f>
        <v>0</v>
      </c>
    </row>
    <row r="47" spans="1:12" hidden="1" x14ac:dyDescent="0.55000000000000004">
      <c r="A47" s="3" t="s">
        <v>36</v>
      </c>
      <c r="B47" s="3" t="s">
        <v>60</v>
      </c>
      <c r="C47" s="1" t="str">
        <f>IF(MOD(ROW(),6 )= 2,Table2[[#This Row],[Titel]],C46)</f>
        <v>Long</v>
      </c>
      <c r="D47" t="str">
        <f>VLOOKUP(Table2[[#This Row],[Type]],Table2[[Titel]:[Values]],2,FALSE)</f>
        <v>3</v>
      </c>
      <c r="E47" t="str">
        <f ca="1">OFFSET(INDIRECT(ADDRESS(MATCH(Table2[[#This Row],[Type]],Table2[Titel],0),2)),2,0)</f>
        <v>0300 0000 0000 0000 0300 0000 CF2E 0940</v>
      </c>
      <c r="F47" t="s">
        <v>131</v>
      </c>
      <c r="G47" t="str">
        <f ca="1">OFFSET(INDIRECT(ADDRESS(MATCH(Table2[[#This Row],[Type]],Table2[Titel],0),2)),3,0)</f>
        <v>00 00 00 00 00 00</v>
      </c>
      <c r="H47" t="str">
        <f ca="1">OFFSET(INDIRECT(ADDRESS(MATCH(Table2[[#This Row],[Type]],Table2[Titel],0),2)),4,0)</f>
        <v>40 09 2E CF 00 00 00 03</v>
      </c>
      <c r="I47" t="str">
        <f ca="1">OFFSET(INDIRECT(ADDRESS(MATCH(Table2[[#This Row],[Type]],Table2[Titel],0),2)),5,0)</f>
        <v>0300</v>
      </c>
      <c r="J47" s="1" t="b">
        <f t="shared" si="1"/>
        <v>0</v>
      </c>
      <c r="K47" s="1" t="str">
        <f ca="1">LEFT(Table2[[#This Row],[VarType:]],2)</f>
        <v>03</v>
      </c>
      <c r="L47" s="1" t="b">
        <f ca="1">HEX2DEC(Table2[[#This Row],[VarType:]])&gt;=HEX2DEC(VT_Stuff!$C$37)</f>
        <v>0</v>
      </c>
    </row>
    <row r="48" spans="1:12" hidden="1" x14ac:dyDescent="0.55000000000000004">
      <c r="A48" s="3" t="s">
        <v>38</v>
      </c>
      <c r="B48" s="3" t="s">
        <v>78</v>
      </c>
      <c r="C48" s="1" t="str">
        <f>IF(MOD(ROW(),6 )= 2,Table2[[#This Row],[Titel]],C47)</f>
        <v>Long</v>
      </c>
      <c r="D48" t="str">
        <f>VLOOKUP(Table2[[#This Row],[Type]],Table2[[Titel]:[Values]],2,FALSE)</f>
        <v>3</v>
      </c>
      <c r="E48" t="str">
        <f ca="1">OFFSET(INDIRECT(ADDRESS(MATCH(Table2[[#This Row],[Type]],Table2[Titel],0),2)),2,0)</f>
        <v>0300 0000 0000 0000 0300 0000 CF2E 0940</v>
      </c>
      <c r="F48" t="s">
        <v>131</v>
      </c>
      <c r="G48" t="str">
        <f ca="1">OFFSET(INDIRECT(ADDRESS(MATCH(Table2[[#This Row],[Type]],Table2[Titel],0),2)),3,0)</f>
        <v>00 00 00 00 00 00</v>
      </c>
      <c r="H48" t="str">
        <f ca="1">OFFSET(INDIRECT(ADDRESS(MATCH(Table2[[#This Row],[Type]],Table2[Titel],0),2)),4,0)</f>
        <v>40 09 2E CF 00 00 00 03</v>
      </c>
      <c r="I48" t="str">
        <f ca="1">OFFSET(INDIRECT(ADDRESS(MATCH(Table2[[#This Row],[Type]],Table2[Titel],0),2)),5,0)</f>
        <v>0300</v>
      </c>
      <c r="J48" s="1" t="b">
        <f t="shared" si="1"/>
        <v>0</v>
      </c>
      <c r="K48" s="1" t="str">
        <f ca="1">LEFT(Table2[[#This Row],[VarType:]],2)</f>
        <v>03</v>
      </c>
      <c r="L48" s="1" t="b">
        <f ca="1">HEX2DEC(Table2[[#This Row],[VarType:]])&gt;=HEX2DEC(VT_Stuff!$C$37)</f>
        <v>0</v>
      </c>
    </row>
    <row r="49" spans="1:12" hidden="1" x14ac:dyDescent="0.55000000000000004">
      <c r="C49" s="1" t="str">
        <f>IF(MOD(ROW(),6 )= 2,Table2[[#This Row],[Titel]],C48)</f>
        <v>Long</v>
      </c>
      <c r="D49" t="str">
        <f>VLOOKUP(Table2[[#This Row],[Type]],Table2[[Titel]:[Values]],2,FALSE)</f>
        <v>3</v>
      </c>
      <c r="E49" t="str">
        <f ca="1">OFFSET(INDIRECT(ADDRESS(MATCH(Table2[[#This Row],[Type]],Table2[Titel],0),2)),2,0)</f>
        <v>0300 0000 0000 0000 0300 0000 CF2E 0940</v>
      </c>
      <c r="F49" t="s">
        <v>131</v>
      </c>
      <c r="G49" t="str">
        <f ca="1">OFFSET(INDIRECT(ADDRESS(MATCH(Table2[[#This Row],[Type]],Table2[Titel],0),2)),3,0)</f>
        <v>00 00 00 00 00 00</v>
      </c>
      <c r="H49" t="str">
        <f ca="1">OFFSET(INDIRECT(ADDRESS(MATCH(Table2[[#This Row],[Type]],Table2[Titel],0),2)),4,0)</f>
        <v>40 09 2E CF 00 00 00 03</v>
      </c>
      <c r="I49" t="str">
        <f ca="1">OFFSET(INDIRECT(ADDRESS(MATCH(Table2[[#This Row],[Type]],Table2[Titel],0),2)),5,0)</f>
        <v>0300</v>
      </c>
      <c r="J49" s="1" t="b">
        <f t="shared" si="1"/>
        <v>0</v>
      </c>
      <c r="K49" s="1" t="str">
        <f ca="1">LEFT(Table2[[#This Row],[VarType:]],2)</f>
        <v>03</v>
      </c>
      <c r="L49" s="1" t="b">
        <f ca="1">HEX2DEC(Table2[[#This Row],[VarType:]])&gt;=HEX2DEC(VT_Stuff!$C$37)</f>
        <v>0</v>
      </c>
    </row>
    <row r="50" spans="1:12" x14ac:dyDescent="0.55000000000000004">
      <c r="A50" s="3" t="s">
        <v>126</v>
      </c>
      <c r="B50" s="3" t="s">
        <v>68</v>
      </c>
      <c r="C50" s="4" t="str">
        <f>IF(MOD(ROW(),6 )= 2,Table2[[#This Row],[Titel]],C49)</f>
        <v>LongPtr</v>
      </c>
      <c r="D50" t="str">
        <f>VLOOKUP(Table2[[#This Row],[Type]],Table2[[Titel]:[Values]],2,FALSE)</f>
        <v>3</v>
      </c>
      <c r="E50" t="str">
        <f ca="1">OFFSET(INDIRECT(ADDRESS(MATCH(Table2[[#This Row],[Type]],Table2[Titel],0),2)),2,0)</f>
        <v>0300 0000 0000 0000 0300 0000 CF2E 0940</v>
      </c>
      <c r="F50" t="s">
        <v>131</v>
      </c>
      <c r="G50" t="str">
        <f ca="1">OFFSET(INDIRECT(ADDRESS(MATCH(Table2[[#This Row],[Type]],Table2[Titel],0),2)),3,0)</f>
        <v>00 00 00 00 00 00</v>
      </c>
      <c r="H50" t="str">
        <f ca="1">OFFSET(INDIRECT(ADDRESS(MATCH(Table2[[#This Row],[Type]],Table2[Titel],0),2)),4,0)</f>
        <v>40 09 2E CF 00 00 00 03</v>
      </c>
      <c r="I50" t="str">
        <f ca="1">OFFSET(INDIRECT(ADDRESS(MATCH(Table2[[#This Row],[Type]],Table2[Titel],0),2)),5,0)</f>
        <v>0300</v>
      </c>
      <c r="J50" s="1" t="b">
        <f t="shared" si="1"/>
        <v>1</v>
      </c>
      <c r="K50" s="1" t="str">
        <f ca="1">LEFT(Table2[[#This Row],[VarType:]],2)</f>
        <v>03</v>
      </c>
      <c r="L50" s="1"/>
    </row>
    <row r="51" spans="1:12" hidden="1" x14ac:dyDescent="0.55000000000000004">
      <c r="A51" s="3" t="s">
        <v>32</v>
      </c>
      <c r="B51" s="3" t="s">
        <v>59</v>
      </c>
      <c r="C51" s="1" t="str">
        <f>IF(MOD(ROW(),6 )= 2,Table2[[#This Row],[Titel]],C50)</f>
        <v>LongPtr</v>
      </c>
      <c r="D51" t="str">
        <f>VLOOKUP(Table2[[#This Row],[Type]],Table2[[Titel]:[Values]],2,FALSE)</f>
        <v>3</v>
      </c>
      <c r="E51" t="str">
        <f ca="1">OFFSET(INDIRECT(ADDRESS(MATCH(Table2[[#This Row],[Type]],Table2[Titel],0),2)),2,0)</f>
        <v>0300 0000 0000 0000 0300 0000 CF2E 0940</v>
      </c>
      <c r="F51" t="s">
        <v>131</v>
      </c>
      <c r="G51" t="str">
        <f ca="1">OFFSET(INDIRECT(ADDRESS(MATCH(Table2[[#This Row],[Type]],Table2[Titel],0),2)),3,0)</f>
        <v>00 00 00 00 00 00</v>
      </c>
      <c r="H51" t="str">
        <f ca="1">OFFSET(INDIRECT(ADDRESS(MATCH(Table2[[#This Row],[Type]],Table2[Titel],0),2)),4,0)</f>
        <v>40 09 2E CF 00 00 00 03</v>
      </c>
      <c r="I51" t="str">
        <f ca="1">OFFSET(INDIRECT(ADDRESS(MATCH(Table2[[#This Row],[Type]],Table2[Titel],0),2)),5,0)</f>
        <v>0300</v>
      </c>
      <c r="J51" s="1" t="b">
        <f t="shared" si="1"/>
        <v>0</v>
      </c>
      <c r="K51" s="1" t="str">
        <f ca="1">LEFT(Table2[[#This Row],[VarType:]],2)</f>
        <v>03</v>
      </c>
      <c r="L51" s="1" t="b">
        <f ca="1">HEX2DEC(Table2[[#This Row],[VarType:]])&gt;=HEX2DEC(VT_Stuff!$C$37)</f>
        <v>0</v>
      </c>
    </row>
    <row r="52" spans="1:12" hidden="1" x14ac:dyDescent="0.55000000000000004">
      <c r="A52" s="3" t="s">
        <v>34</v>
      </c>
      <c r="B52" s="3" t="s">
        <v>35</v>
      </c>
      <c r="C52" s="1" t="str">
        <f>IF(MOD(ROW(),6 )= 2,Table2[[#This Row],[Titel]],C51)</f>
        <v>LongPtr</v>
      </c>
      <c r="D52" t="str">
        <f>VLOOKUP(Table2[[#This Row],[Type]],Table2[[Titel]:[Values]],2,FALSE)</f>
        <v>3</v>
      </c>
      <c r="E52" t="str">
        <f ca="1">OFFSET(INDIRECT(ADDRESS(MATCH(Table2[[#This Row],[Type]],Table2[Titel],0),2)),2,0)</f>
        <v>0300 0000 0000 0000 0300 0000 CF2E 0940</v>
      </c>
      <c r="F52" t="s">
        <v>131</v>
      </c>
      <c r="G52" t="str">
        <f ca="1">OFFSET(INDIRECT(ADDRESS(MATCH(Table2[[#This Row],[Type]],Table2[Titel],0),2)),3,0)</f>
        <v>00 00 00 00 00 00</v>
      </c>
      <c r="H52" t="str">
        <f ca="1">OFFSET(INDIRECT(ADDRESS(MATCH(Table2[[#This Row],[Type]],Table2[Titel],0),2)),4,0)</f>
        <v>40 09 2E CF 00 00 00 03</v>
      </c>
      <c r="I52" t="str">
        <f ca="1">OFFSET(INDIRECT(ADDRESS(MATCH(Table2[[#This Row],[Type]],Table2[Titel],0),2)),5,0)</f>
        <v>0300</v>
      </c>
      <c r="J52" s="1" t="b">
        <f t="shared" si="1"/>
        <v>0</v>
      </c>
      <c r="K52" s="1" t="str">
        <f ca="1">LEFT(Table2[[#This Row],[VarType:]],2)</f>
        <v>03</v>
      </c>
      <c r="L52" s="1" t="b">
        <f ca="1">HEX2DEC(Table2[[#This Row],[VarType:]])&gt;=HEX2DEC(VT_Stuff!$C$37)</f>
        <v>0</v>
      </c>
    </row>
    <row r="53" spans="1:12" hidden="1" x14ac:dyDescent="0.55000000000000004">
      <c r="A53" s="3" t="s">
        <v>36</v>
      </c>
      <c r="B53" s="3" t="s">
        <v>60</v>
      </c>
      <c r="C53" s="1" t="str">
        <f>IF(MOD(ROW(),6 )= 2,Table2[[#This Row],[Titel]],C52)</f>
        <v>LongPtr</v>
      </c>
      <c r="D53" t="str">
        <f>VLOOKUP(Table2[[#This Row],[Type]],Table2[[Titel]:[Values]],2,FALSE)</f>
        <v>3</v>
      </c>
      <c r="E53" t="str">
        <f ca="1">OFFSET(INDIRECT(ADDRESS(MATCH(Table2[[#This Row],[Type]],Table2[Titel],0),2)),2,0)</f>
        <v>0300 0000 0000 0000 0300 0000 CF2E 0940</v>
      </c>
      <c r="F53" t="s">
        <v>131</v>
      </c>
      <c r="G53" t="str">
        <f ca="1">OFFSET(INDIRECT(ADDRESS(MATCH(Table2[[#This Row],[Type]],Table2[Titel],0),2)),3,0)</f>
        <v>00 00 00 00 00 00</v>
      </c>
      <c r="H53" t="str">
        <f ca="1">OFFSET(INDIRECT(ADDRESS(MATCH(Table2[[#This Row],[Type]],Table2[Titel],0),2)),4,0)</f>
        <v>40 09 2E CF 00 00 00 03</v>
      </c>
      <c r="I53" t="str">
        <f ca="1">OFFSET(INDIRECT(ADDRESS(MATCH(Table2[[#This Row],[Type]],Table2[Titel],0),2)),5,0)</f>
        <v>0300</v>
      </c>
      <c r="J53" s="1" t="b">
        <f t="shared" si="1"/>
        <v>0</v>
      </c>
      <c r="K53" s="1" t="str">
        <f ca="1">LEFT(Table2[[#This Row],[VarType:]],2)</f>
        <v>03</v>
      </c>
      <c r="L53" s="1" t="b">
        <f ca="1">HEX2DEC(Table2[[#This Row],[VarType:]])&gt;=HEX2DEC(VT_Stuff!$C$37)</f>
        <v>0</v>
      </c>
    </row>
    <row r="54" spans="1:12" hidden="1" x14ac:dyDescent="0.55000000000000004">
      <c r="A54" s="3" t="s">
        <v>38</v>
      </c>
      <c r="B54" s="3" t="s">
        <v>78</v>
      </c>
      <c r="C54" s="1" t="str">
        <f>IF(MOD(ROW(),6 )= 2,Table2[[#This Row],[Titel]],C53)</f>
        <v>LongPtr</v>
      </c>
      <c r="D54" t="str">
        <f>VLOOKUP(Table2[[#This Row],[Type]],Table2[[Titel]:[Values]],2,FALSE)</f>
        <v>3</v>
      </c>
      <c r="E54" t="str">
        <f ca="1">OFFSET(INDIRECT(ADDRESS(MATCH(Table2[[#This Row],[Type]],Table2[Titel],0),2)),2,0)</f>
        <v>0300 0000 0000 0000 0300 0000 CF2E 0940</v>
      </c>
      <c r="F54" t="s">
        <v>131</v>
      </c>
      <c r="G54" t="str">
        <f ca="1">OFFSET(INDIRECT(ADDRESS(MATCH(Table2[[#This Row],[Type]],Table2[Titel],0),2)),3,0)</f>
        <v>00 00 00 00 00 00</v>
      </c>
      <c r="H54" t="str">
        <f ca="1">OFFSET(INDIRECT(ADDRESS(MATCH(Table2[[#This Row],[Type]],Table2[Titel],0),2)),4,0)</f>
        <v>40 09 2E CF 00 00 00 03</v>
      </c>
      <c r="I54" t="str">
        <f ca="1">OFFSET(INDIRECT(ADDRESS(MATCH(Table2[[#This Row],[Type]],Table2[Titel],0),2)),5,0)</f>
        <v>0300</v>
      </c>
      <c r="J54" s="1" t="b">
        <f t="shared" si="1"/>
        <v>0</v>
      </c>
      <c r="K54" s="1" t="str">
        <f ca="1">LEFT(Table2[[#This Row],[VarType:]],2)</f>
        <v>03</v>
      </c>
      <c r="L54" s="1" t="b">
        <f ca="1">HEX2DEC(Table2[[#This Row],[VarType:]])&gt;=HEX2DEC(VT_Stuff!$C$37)</f>
        <v>0</v>
      </c>
    </row>
    <row r="55" spans="1:12" hidden="1" x14ac:dyDescent="0.55000000000000004">
      <c r="C55" s="1" t="str">
        <f>IF(MOD(ROW(),6 )= 2,Table2[[#This Row],[Titel]],C54)</f>
        <v>LongPtr</v>
      </c>
      <c r="D55" t="str">
        <f>VLOOKUP(Table2[[#This Row],[Type]],Table2[[Titel]:[Values]],2,FALSE)</f>
        <v>3</v>
      </c>
      <c r="E55" t="str">
        <f ca="1">OFFSET(INDIRECT(ADDRESS(MATCH(Table2[[#This Row],[Type]],Table2[Titel],0),2)),2,0)</f>
        <v>0300 0000 0000 0000 0300 0000 CF2E 0940</v>
      </c>
      <c r="F55" t="s">
        <v>131</v>
      </c>
      <c r="G55" t="str">
        <f ca="1">OFFSET(INDIRECT(ADDRESS(MATCH(Table2[[#This Row],[Type]],Table2[Titel],0),2)),3,0)</f>
        <v>00 00 00 00 00 00</v>
      </c>
      <c r="H55" t="str">
        <f ca="1">OFFSET(INDIRECT(ADDRESS(MATCH(Table2[[#This Row],[Type]],Table2[Titel],0),2)),4,0)</f>
        <v>40 09 2E CF 00 00 00 03</v>
      </c>
      <c r="I55" t="str">
        <f ca="1">OFFSET(INDIRECT(ADDRESS(MATCH(Table2[[#This Row],[Type]],Table2[Titel],0),2)),5,0)</f>
        <v>0300</v>
      </c>
      <c r="J55" s="1" t="b">
        <f t="shared" si="1"/>
        <v>0</v>
      </c>
      <c r="K55" s="1" t="str">
        <f ca="1">LEFT(Table2[[#This Row],[VarType:]],2)</f>
        <v>03</v>
      </c>
      <c r="L55" s="1" t="b">
        <f ca="1">HEX2DEC(Table2[[#This Row],[VarType:]])&gt;=HEX2DEC(VT_Stuff!$C$37)</f>
        <v>0</v>
      </c>
    </row>
    <row r="56" spans="1:12" x14ac:dyDescent="0.55000000000000004">
      <c r="A56" s="3" t="s">
        <v>61</v>
      </c>
      <c r="B56" s="3" t="s">
        <v>74</v>
      </c>
      <c r="C56" s="4" t="str">
        <f>IF(MOD(ROW(),6 )= 2,Table2[[#This Row],[Titel]],C55)</f>
        <v>Single</v>
      </c>
      <c r="D56" t="str">
        <f>VLOOKUP(Table2[[#This Row],[Type]],Table2[[Titel]:[Values]],2,FALSE)</f>
        <v>3.147857</v>
      </c>
      <c r="E56" t="str">
        <f ca="1">OFFSET(INDIRECT(ADDRESS(MATCH(Table2[[#This Row],[Type]],Table2[Titel],0),2)),2,0)</f>
        <v>0400 0000 0000 0000 7D76 4940 CF2E 0940</v>
      </c>
      <c r="F56" t="s">
        <v>134</v>
      </c>
      <c r="G56" t="str">
        <f ca="1">OFFSET(INDIRECT(ADDRESS(MATCH(Table2[[#This Row],[Type]],Table2[Titel],0),2)),3,0)</f>
        <v>00 00 00 00 00 00</v>
      </c>
      <c r="H56" t="str">
        <f ca="1">OFFSET(INDIRECT(ADDRESS(MATCH(Table2[[#This Row],[Type]],Table2[Titel],0),2)),4,0)</f>
        <v>40 09 2E CF 40 49 76 7D</v>
      </c>
      <c r="I56" t="str">
        <f ca="1">OFFSET(INDIRECT(ADDRESS(MATCH(Table2[[#This Row],[Type]],Table2[Titel],0),2)),5,0)</f>
        <v>0400</v>
      </c>
      <c r="J56" s="1" t="b">
        <f t="shared" si="1"/>
        <v>1</v>
      </c>
      <c r="K56" s="1" t="str">
        <f ca="1">LEFT(Table2[[#This Row],[VarType:]],2)</f>
        <v>04</v>
      </c>
      <c r="L56" s="1"/>
    </row>
    <row r="57" spans="1:12" hidden="1" x14ac:dyDescent="0.55000000000000004">
      <c r="A57" s="3" t="s">
        <v>32</v>
      </c>
      <c r="B57" s="3" t="s">
        <v>62</v>
      </c>
      <c r="C57" s="1" t="str">
        <f>IF(MOD(ROW(),6 )= 2,Table2[[#This Row],[Titel]],C56)</f>
        <v>Single</v>
      </c>
      <c r="D57" t="str">
        <f>VLOOKUP(Table2[[#This Row],[Type]],Table2[[Titel]:[Values]],2,FALSE)</f>
        <v>3.147857</v>
      </c>
      <c r="E57" t="str">
        <f ca="1">OFFSET(INDIRECT(ADDRESS(MATCH(Table2[[#This Row],[Type]],Table2[Titel],0),2)),2,0)</f>
        <v>0400 0000 0000 0000 7D76 4940 CF2E 0940</v>
      </c>
      <c r="F57" t="s">
        <v>131</v>
      </c>
      <c r="G57" t="str">
        <f ca="1">OFFSET(INDIRECT(ADDRESS(MATCH(Table2[[#This Row],[Type]],Table2[Titel],0),2)),3,0)</f>
        <v>00 00 00 00 00 00</v>
      </c>
      <c r="H57" t="str">
        <f ca="1">OFFSET(INDIRECT(ADDRESS(MATCH(Table2[[#This Row],[Type]],Table2[Titel],0),2)),4,0)</f>
        <v>40 09 2E CF 40 49 76 7D</v>
      </c>
      <c r="I57" t="str">
        <f ca="1">OFFSET(INDIRECT(ADDRESS(MATCH(Table2[[#This Row],[Type]],Table2[Titel],0),2)),5,0)</f>
        <v>0400</v>
      </c>
      <c r="J57" s="1" t="b">
        <f t="shared" si="1"/>
        <v>0</v>
      </c>
      <c r="K57" s="1" t="str">
        <f ca="1">LEFT(Table2[[#This Row],[VarType:]],2)</f>
        <v>04</v>
      </c>
      <c r="L57" s="1" t="b">
        <f ca="1">HEX2DEC(Table2[[#This Row],[VarType:]])&gt;=HEX2DEC(VT_Stuff!$C$37)</f>
        <v>0</v>
      </c>
    </row>
    <row r="58" spans="1:12" hidden="1" x14ac:dyDescent="0.55000000000000004">
      <c r="A58" s="3" t="s">
        <v>34</v>
      </c>
      <c r="B58" s="3" t="s">
        <v>35</v>
      </c>
      <c r="C58" s="1" t="str">
        <f>IF(MOD(ROW(),6 )= 2,Table2[[#This Row],[Titel]],C57)</f>
        <v>Single</v>
      </c>
      <c r="D58" t="str">
        <f>VLOOKUP(Table2[[#This Row],[Type]],Table2[[Titel]:[Values]],2,FALSE)</f>
        <v>3.147857</v>
      </c>
      <c r="E58" t="str">
        <f ca="1">OFFSET(INDIRECT(ADDRESS(MATCH(Table2[[#This Row],[Type]],Table2[Titel],0),2)),2,0)</f>
        <v>0400 0000 0000 0000 7D76 4940 CF2E 0940</v>
      </c>
      <c r="F58" t="s">
        <v>131</v>
      </c>
      <c r="G58" t="str">
        <f ca="1">OFFSET(INDIRECT(ADDRESS(MATCH(Table2[[#This Row],[Type]],Table2[Titel],0),2)),3,0)</f>
        <v>00 00 00 00 00 00</v>
      </c>
      <c r="H58" t="str">
        <f ca="1">OFFSET(INDIRECT(ADDRESS(MATCH(Table2[[#This Row],[Type]],Table2[Titel],0),2)),4,0)</f>
        <v>40 09 2E CF 40 49 76 7D</v>
      </c>
      <c r="I58" t="str">
        <f ca="1">OFFSET(INDIRECT(ADDRESS(MATCH(Table2[[#This Row],[Type]],Table2[Titel],0),2)),5,0)</f>
        <v>0400</v>
      </c>
      <c r="J58" s="1" t="b">
        <f t="shared" si="1"/>
        <v>0</v>
      </c>
      <c r="K58" s="1" t="str">
        <f ca="1">LEFT(Table2[[#This Row],[VarType:]],2)</f>
        <v>04</v>
      </c>
      <c r="L58" s="1" t="b">
        <f ca="1">HEX2DEC(Table2[[#This Row],[VarType:]])&gt;=HEX2DEC(VT_Stuff!$C$37)</f>
        <v>0</v>
      </c>
    </row>
    <row r="59" spans="1:12" hidden="1" x14ac:dyDescent="0.55000000000000004">
      <c r="A59" s="3" t="s">
        <v>36</v>
      </c>
      <c r="B59" s="3" t="s">
        <v>63</v>
      </c>
      <c r="C59" s="1" t="str">
        <f>IF(MOD(ROW(),6 )= 2,Table2[[#This Row],[Titel]],C58)</f>
        <v>Single</v>
      </c>
      <c r="D59" t="str">
        <f>VLOOKUP(Table2[[#This Row],[Type]],Table2[[Titel]:[Values]],2,FALSE)</f>
        <v>3.147857</v>
      </c>
      <c r="E59" t="str">
        <f ca="1">OFFSET(INDIRECT(ADDRESS(MATCH(Table2[[#This Row],[Type]],Table2[Titel],0),2)),2,0)</f>
        <v>0400 0000 0000 0000 7D76 4940 CF2E 0940</v>
      </c>
      <c r="F59" t="s">
        <v>131</v>
      </c>
      <c r="G59" t="str">
        <f ca="1">OFFSET(INDIRECT(ADDRESS(MATCH(Table2[[#This Row],[Type]],Table2[Titel],0),2)),3,0)</f>
        <v>00 00 00 00 00 00</v>
      </c>
      <c r="H59" t="str">
        <f ca="1">OFFSET(INDIRECT(ADDRESS(MATCH(Table2[[#This Row],[Type]],Table2[Titel],0),2)),4,0)</f>
        <v>40 09 2E CF 40 49 76 7D</v>
      </c>
      <c r="I59" t="str">
        <f ca="1">OFFSET(INDIRECT(ADDRESS(MATCH(Table2[[#This Row],[Type]],Table2[Titel],0),2)),5,0)</f>
        <v>0400</v>
      </c>
      <c r="J59" s="1" t="b">
        <f t="shared" si="1"/>
        <v>0</v>
      </c>
      <c r="K59" s="1" t="str">
        <f ca="1">LEFT(Table2[[#This Row],[VarType:]],2)</f>
        <v>04</v>
      </c>
      <c r="L59" s="1" t="b">
        <f ca="1">HEX2DEC(Table2[[#This Row],[VarType:]])&gt;=HEX2DEC(VT_Stuff!$C$37)</f>
        <v>0</v>
      </c>
    </row>
    <row r="60" spans="1:12" hidden="1" x14ac:dyDescent="0.55000000000000004">
      <c r="A60" s="3" t="s">
        <v>38</v>
      </c>
      <c r="B60" s="3" t="s">
        <v>79</v>
      </c>
      <c r="C60" s="1" t="str">
        <f>IF(MOD(ROW(),6 )= 2,Table2[[#This Row],[Titel]],C59)</f>
        <v>Single</v>
      </c>
      <c r="D60" t="str">
        <f>VLOOKUP(Table2[[#This Row],[Type]],Table2[[Titel]:[Values]],2,FALSE)</f>
        <v>3.147857</v>
      </c>
      <c r="E60" t="str">
        <f ca="1">OFFSET(INDIRECT(ADDRESS(MATCH(Table2[[#This Row],[Type]],Table2[Titel],0),2)),2,0)</f>
        <v>0400 0000 0000 0000 7D76 4940 CF2E 0940</v>
      </c>
      <c r="F60" t="s">
        <v>131</v>
      </c>
      <c r="G60" t="str">
        <f ca="1">OFFSET(INDIRECT(ADDRESS(MATCH(Table2[[#This Row],[Type]],Table2[Titel],0),2)),3,0)</f>
        <v>00 00 00 00 00 00</v>
      </c>
      <c r="H60" t="str">
        <f ca="1">OFFSET(INDIRECT(ADDRESS(MATCH(Table2[[#This Row],[Type]],Table2[Titel],0),2)),4,0)</f>
        <v>40 09 2E CF 40 49 76 7D</v>
      </c>
      <c r="I60" t="str">
        <f ca="1">OFFSET(INDIRECT(ADDRESS(MATCH(Table2[[#This Row],[Type]],Table2[Titel],0),2)),5,0)</f>
        <v>0400</v>
      </c>
      <c r="J60" s="1" t="b">
        <f t="shared" si="1"/>
        <v>0</v>
      </c>
      <c r="K60" s="1" t="str">
        <f ca="1">LEFT(Table2[[#This Row],[VarType:]],2)</f>
        <v>04</v>
      </c>
      <c r="L60" s="1" t="b">
        <f ca="1">HEX2DEC(Table2[[#This Row],[VarType:]])&gt;=HEX2DEC(VT_Stuff!$C$37)</f>
        <v>0</v>
      </c>
    </row>
    <row r="61" spans="1:12" hidden="1" x14ac:dyDescent="0.55000000000000004">
      <c r="C61" s="1" t="str">
        <f>IF(MOD(ROW(),6 )= 2,Table2[[#This Row],[Titel]],C60)</f>
        <v>Single</v>
      </c>
      <c r="D61" t="str">
        <f>VLOOKUP(Table2[[#This Row],[Type]],Table2[[Titel]:[Values]],2,FALSE)</f>
        <v>3.147857</v>
      </c>
      <c r="E61" t="str">
        <f ca="1">OFFSET(INDIRECT(ADDRESS(MATCH(Table2[[#This Row],[Type]],Table2[Titel],0),2)),2,0)</f>
        <v>0400 0000 0000 0000 7D76 4940 CF2E 0940</v>
      </c>
      <c r="F61" t="s">
        <v>131</v>
      </c>
      <c r="G61" t="str">
        <f ca="1">OFFSET(INDIRECT(ADDRESS(MATCH(Table2[[#This Row],[Type]],Table2[Titel],0),2)),3,0)</f>
        <v>00 00 00 00 00 00</v>
      </c>
      <c r="H61" t="str">
        <f ca="1">OFFSET(INDIRECT(ADDRESS(MATCH(Table2[[#This Row],[Type]],Table2[Titel],0),2)),4,0)</f>
        <v>40 09 2E CF 40 49 76 7D</v>
      </c>
      <c r="I61" t="str">
        <f ca="1">OFFSET(INDIRECT(ADDRESS(MATCH(Table2[[#This Row],[Type]],Table2[Titel],0),2)),5,0)</f>
        <v>0400</v>
      </c>
      <c r="J61" s="1" t="b">
        <f t="shared" si="1"/>
        <v>0</v>
      </c>
      <c r="K61" s="1" t="str">
        <f ca="1">LEFT(Table2[[#This Row],[VarType:]],2)</f>
        <v>04</v>
      </c>
      <c r="L61" s="1" t="b">
        <f ca="1">HEX2DEC(Table2[[#This Row],[VarType:]])&gt;=HEX2DEC(VT_Stuff!$C$37)</f>
        <v>0</v>
      </c>
    </row>
    <row r="62" spans="1:12" x14ac:dyDescent="0.55000000000000004">
      <c r="A62" s="3" t="s">
        <v>64</v>
      </c>
      <c r="B62" s="3" t="s">
        <v>74</v>
      </c>
      <c r="C62" s="1" t="str">
        <f>IF(MOD(ROW(),6 )= 2,Table2[[#This Row],[Titel]],C61)</f>
        <v>String</v>
      </c>
      <c r="D62" t="str">
        <f>VLOOKUP(Table2[[#This Row],[Type]],Table2[[Titel]:[Values]],2,FALSE)</f>
        <v>3.147857</v>
      </c>
      <c r="E62" t="str">
        <f ca="1">OFFSET(INDIRECT(ADDRESS(MATCH(Table2[[#This Row],[Type]],Table2[Titel],0),2)),2,0)</f>
        <v>0800 0000 0000 0000 F459 4722 CF2E 0940</v>
      </c>
      <c r="F62" t="s">
        <v>135</v>
      </c>
      <c r="G62" t="str">
        <f ca="1">OFFSET(INDIRECT(ADDRESS(MATCH(Table2[[#This Row],[Type]],Table2[Titel],0),2)),3,0)</f>
        <v>00 00 00 00 00 00</v>
      </c>
      <c r="H62" t="str">
        <f ca="1">OFFSET(INDIRECT(ADDRESS(MATCH(Table2[[#This Row],[Type]],Table2[Titel],0),2)),4,0)</f>
        <v>40 09 2E CF 22 47 59 F4</v>
      </c>
      <c r="I62" t="str">
        <f ca="1">OFFSET(INDIRECT(ADDRESS(MATCH(Table2[[#This Row],[Type]],Table2[Titel],0),2)),5,0)</f>
        <v>0800</v>
      </c>
      <c r="J62" s="1" t="b">
        <f t="shared" si="1"/>
        <v>1</v>
      </c>
      <c r="K62" s="1" t="str">
        <f ca="1">LEFT(Table2[[#This Row],[VarType:]],2)</f>
        <v>08</v>
      </c>
      <c r="L62" s="1"/>
    </row>
    <row r="63" spans="1:12" hidden="1" x14ac:dyDescent="0.55000000000000004">
      <c r="A63" s="3" t="s">
        <v>32</v>
      </c>
      <c r="B63" s="3" t="s">
        <v>65</v>
      </c>
      <c r="C63" s="1" t="str">
        <f>IF(MOD(ROW(),6 )= 2,Table2[[#This Row],[Titel]],C62)</f>
        <v>String</v>
      </c>
      <c r="D63" t="str">
        <f>VLOOKUP(Table2[[#This Row],[Type]],Table2[[Titel]:[Values]],2,FALSE)</f>
        <v>3.147857</v>
      </c>
      <c r="E63" t="str">
        <f ca="1">OFFSET(INDIRECT(ADDRESS(MATCH(Table2[[#This Row],[Type]],Table2[Titel],0),2)),2,0)</f>
        <v>0800 0000 0000 0000 F459 4722 CF2E 0940</v>
      </c>
      <c r="F63" t="s">
        <v>131</v>
      </c>
      <c r="G63" t="str">
        <f ca="1">OFFSET(INDIRECT(ADDRESS(MATCH(Table2[[#This Row],[Type]],Table2[Titel],0),2)),3,0)</f>
        <v>00 00 00 00 00 00</v>
      </c>
      <c r="H63" t="str">
        <f ca="1">OFFSET(INDIRECT(ADDRESS(MATCH(Table2[[#This Row],[Type]],Table2[Titel],0),2)),4,0)</f>
        <v>40 09 2E CF 22 47 59 F4</v>
      </c>
      <c r="I63" t="str">
        <f ca="1">OFFSET(INDIRECT(ADDRESS(MATCH(Table2[[#This Row],[Type]],Table2[Titel],0),2)),5,0)</f>
        <v>0800</v>
      </c>
      <c r="J63" s="1" t="b">
        <f t="shared" si="1"/>
        <v>0</v>
      </c>
      <c r="K63" s="1" t="str">
        <f ca="1">LEFT(Table2[[#This Row],[VarType:]],2)</f>
        <v>08</v>
      </c>
      <c r="L63" s="1" t="b">
        <f ca="1">HEX2DEC(Table2[[#This Row],[VarType:]])&gt;=HEX2DEC(VT_Stuff!$C$37)</f>
        <v>0</v>
      </c>
    </row>
    <row r="64" spans="1:12" hidden="1" x14ac:dyDescent="0.55000000000000004">
      <c r="A64" s="3" t="s">
        <v>34</v>
      </c>
      <c r="B64" s="3" t="s">
        <v>35</v>
      </c>
      <c r="C64" s="1" t="str">
        <f>IF(MOD(ROW(),6 )= 2,Table2[[#This Row],[Titel]],C63)</f>
        <v>String</v>
      </c>
      <c r="D64" t="str">
        <f>VLOOKUP(Table2[[#This Row],[Type]],Table2[[Titel]:[Values]],2,FALSE)</f>
        <v>3.147857</v>
      </c>
      <c r="E64" t="str">
        <f ca="1">OFFSET(INDIRECT(ADDRESS(MATCH(Table2[[#This Row],[Type]],Table2[Titel],0),2)),2,0)</f>
        <v>0800 0000 0000 0000 F459 4722 CF2E 0940</v>
      </c>
      <c r="F64" t="s">
        <v>131</v>
      </c>
      <c r="G64" t="str">
        <f ca="1">OFFSET(INDIRECT(ADDRESS(MATCH(Table2[[#This Row],[Type]],Table2[Titel],0),2)),3,0)</f>
        <v>00 00 00 00 00 00</v>
      </c>
      <c r="H64" t="str">
        <f ca="1">OFFSET(INDIRECT(ADDRESS(MATCH(Table2[[#This Row],[Type]],Table2[Titel],0),2)),4,0)</f>
        <v>40 09 2E CF 22 47 59 F4</v>
      </c>
      <c r="I64" t="str">
        <f ca="1">OFFSET(INDIRECT(ADDRESS(MATCH(Table2[[#This Row],[Type]],Table2[Titel],0),2)),5,0)</f>
        <v>0800</v>
      </c>
      <c r="J64" s="1" t="b">
        <f t="shared" si="1"/>
        <v>0</v>
      </c>
      <c r="K64" s="1" t="str">
        <f ca="1">LEFT(Table2[[#This Row],[VarType:]],2)</f>
        <v>08</v>
      </c>
      <c r="L64" s="1" t="b">
        <f ca="1">HEX2DEC(Table2[[#This Row],[VarType:]])&gt;=HEX2DEC(VT_Stuff!$C$37)</f>
        <v>0</v>
      </c>
    </row>
    <row r="65" spans="1:12" hidden="1" x14ac:dyDescent="0.55000000000000004">
      <c r="A65" s="3" t="s">
        <v>36</v>
      </c>
      <c r="B65" s="3" t="s">
        <v>66</v>
      </c>
      <c r="C65" s="1" t="str">
        <f>IF(MOD(ROW(),6 )= 2,Table2[[#This Row],[Titel]],C64)</f>
        <v>String</v>
      </c>
      <c r="D65" t="str">
        <f>VLOOKUP(Table2[[#This Row],[Type]],Table2[[Titel]:[Values]],2,FALSE)</f>
        <v>3.147857</v>
      </c>
      <c r="E65" t="str">
        <f ca="1">OFFSET(INDIRECT(ADDRESS(MATCH(Table2[[#This Row],[Type]],Table2[Titel],0),2)),2,0)</f>
        <v>0800 0000 0000 0000 F459 4722 CF2E 0940</v>
      </c>
      <c r="F65" t="s">
        <v>131</v>
      </c>
      <c r="G65" t="str">
        <f ca="1">OFFSET(INDIRECT(ADDRESS(MATCH(Table2[[#This Row],[Type]],Table2[Titel],0),2)),3,0)</f>
        <v>00 00 00 00 00 00</v>
      </c>
      <c r="H65" t="str">
        <f ca="1">OFFSET(INDIRECT(ADDRESS(MATCH(Table2[[#This Row],[Type]],Table2[Titel],0),2)),4,0)</f>
        <v>40 09 2E CF 22 47 59 F4</v>
      </c>
      <c r="I65" t="str">
        <f ca="1">OFFSET(INDIRECT(ADDRESS(MATCH(Table2[[#This Row],[Type]],Table2[Titel],0),2)),5,0)</f>
        <v>0800</v>
      </c>
      <c r="J65" s="1" t="b">
        <f t="shared" si="1"/>
        <v>0</v>
      </c>
      <c r="K65" s="1" t="str">
        <f ca="1">LEFT(Table2[[#This Row],[VarType:]],2)</f>
        <v>08</v>
      </c>
      <c r="L65" s="1" t="b">
        <f ca="1">HEX2DEC(Table2[[#This Row],[VarType:]])&gt;=HEX2DEC(VT_Stuff!$C$37)</f>
        <v>0</v>
      </c>
    </row>
    <row r="66" spans="1:12" hidden="1" x14ac:dyDescent="0.55000000000000004">
      <c r="A66" s="3" t="s">
        <v>38</v>
      </c>
      <c r="B66" s="3" t="s">
        <v>80</v>
      </c>
      <c r="C66" s="1" t="str">
        <f>IF(MOD(ROW(),6 )= 2,Table2[[#This Row],[Titel]],C65)</f>
        <v>String</v>
      </c>
      <c r="D66" t="str">
        <f>VLOOKUP(Table2[[#This Row],[Type]],Table2[[Titel]:[Values]],2,FALSE)</f>
        <v>3.147857</v>
      </c>
      <c r="E66" t="str">
        <f ca="1">OFFSET(INDIRECT(ADDRESS(MATCH(Table2[[#This Row],[Type]],Table2[Titel],0),2)),2,0)</f>
        <v>0800 0000 0000 0000 F459 4722 CF2E 0940</v>
      </c>
      <c r="F66" t="s">
        <v>131</v>
      </c>
      <c r="G66" t="str">
        <f ca="1">OFFSET(INDIRECT(ADDRESS(MATCH(Table2[[#This Row],[Type]],Table2[Titel],0),2)),3,0)</f>
        <v>00 00 00 00 00 00</v>
      </c>
      <c r="H66" t="str">
        <f ca="1">OFFSET(INDIRECT(ADDRESS(MATCH(Table2[[#This Row],[Type]],Table2[Titel],0),2)),4,0)</f>
        <v>40 09 2E CF 22 47 59 F4</v>
      </c>
      <c r="I66" t="str">
        <f ca="1">OFFSET(INDIRECT(ADDRESS(MATCH(Table2[[#This Row],[Type]],Table2[Titel],0),2)),5,0)</f>
        <v>0800</v>
      </c>
      <c r="J66" s="1" t="b">
        <f t="shared" ref="J66:J97" si="2">MOD(ROW(),6) = 2</f>
        <v>0</v>
      </c>
      <c r="K66" s="1" t="str">
        <f ca="1">LEFT(Table2[[#This Row],[VarType:]],2)</f>
        <v>08</v>
      </c>
      <c r="L66" s="1" t="b">
        <f ca="1">HEX2DEC(Table2[[#This Row],[VarType:]])&gt;=HEX2DEC(VT_Stuff!$C$37)</f>
        <v>0</v>
      </c>
    </row>
    <row r="67" spans="1:12" hidden="1" x14ac:dyDescent="0.55000000000000004">
      <c r="C67" s="1" t="str">
        <f>IF(MOD(ROW(),6 )= 2,Table2[[#This Row],[Titel]],C66)</f>
        <v>String</v>
      </c>
      <c r="D67" t="str">
        <f>VLOOKUP(Table2[[#This Row],[Type]],Table2[[Titel]:[Values]],2,FALSE)</f>
        <v>3.147857</v>
      </c>
      <c r="E67" t="str">
        <f ca="1">OFFSET(INDIRECT(ADDRESS(MATCH(Table2[[#This Row],[Type]],Table2[Titel],0),2)),2,0)</f>
        <v>0800 0000 0000 0000 F459 4722 CF2E 0940</v>
      </c>
      <c r="F67" t="s">
        <v>131</v>
      </c>
      <c r="G67" t="str">
        <f ca="1">OFFSET(INDIRECT(ADDRESS(MATCH(Table2[[#This Row],[Type]],Table2[Titel],0),2)),3,0)</f>
        <v>00 00 00 00 00 00</v>
      </c>
      <c r="H67" t="str">
        <f ca="1">OFFSET(INDIRECT(ADDRESS(MATCH(Table2[[#This Row],[Type]],Table2[Titel],0),2)),4,0)</f>
        <v>40 09 2E CF 22 47 59 F4</v>
      </c>
      <c r="I67" t="str">
        <f ca="1">OFFSET(INDIRECT(ADDRESS(MATCH(Table2[[#This Row],[Type]],Table2[Titel],0),2)),5,0)</f>
        <v>0800</v>
      </c>
      <c r="J67" s="1" t="b">
        <f t="shared" si="2"/>
        <v>0</v>
      </c>
      <c r="K67" s="1" t="str">
        <f ca="1">LEFT(Table2[[#This Row],[VarType:]],2)</f>
        <v>08</v>
      </c>
      <c r="L67" s="1" t="b">
        <f ca="1">HEX2DEC(Table2[[#This Row],[VarType:]])&gt;=HEX2DEC(VT_Stuff!$C$37)</f>
        <v>0</v>
      </c>
    </row>
    <row r="68" spans="1:12" x14ac:dyDescent="0.55000000000000004">
      <c r="A68" s="3" t="s">
        <v>124</v>
      </c>
      <c r="B68" s="3" t="s">
        <v>74</v>
      </c>
      <c r="C68" s="1" t="str">
        <f>IF(MOD(ROW(),6 )= 2,Table2[[#This Row],[Titel]],C67)</f>
        <v>DoubleVar</v>
      </c>
      <c r="D68" t="str">
        <f>VLOOKUP(Table2[[#This Row],[Type]],Table2[[Titel]:[Values]],2,FALSE)</f>
        <v>3.147857</v>
      </c>
      <c r="E68" t="str">
        <f ca="1">OFFSET(INDIRECT(ADDRESS(MATCH(Table2[[#This Row],[Type]],Table2[Titel],0),2)),2,0)</f>
        <v>0500 0000 0000 0000 9CE0 9BA6 CF2E 0940</v>
      </c>
      <c r="F68" t="s">
        <v>136</v>
      </c>
      <c r="G68" t="str">
        <f ca="1">OFFSET(INDIRECT(ADDRESS(MATCH(Table2[[#This Row],[Type]],Table2[Titel],0),2)),3,0)</f>
        <v>00 00 00 00 00 00</v>
      </c>
      <c r="H68" t="str">
        <f ca="1">OFFSET(INDIRECT(ADDRESS(MATCH(Table2[[#This Row],[Type]],Table2[Titel],0),2)),4,0)</f>
        <v>40 09 2E CF A6 9B E0 9C</v>
      </c>
      <c r="I68" t="str">
        <f ca="1">OFFSET(INDIRECT(ADDRESS(MATCH(Table2[[#This Row],[Type]],Table2[Titel],0),2)),5,0)</f>
        <v>0500</v>
      </c>
      <c r="J68" s="1" t="b">
        <f t="shared" si="2"/>
        <v>1</v>
      </c>
      <c r="K68" s="1" t="str">
        <f ca="1">LEFT(Table2[[#This Row],[VarType:]],2)</f>
        <v>05</v>
      </c>
      <c r="L68" s="1"/>
    </row>
    <row r="69" spans="1:12" hidden="1" x14ac:dyDescent="0.55000000000000004">
      <c r="A69" s="3" t="s">
        <v>32</v>
      </c>
      <c r="B69" s="3" t="s">
        <v>54</v>
      </c>
      <c r="C69" s="1" t="str">
        <f>IF(MOD(ROW(),6 )= 2,Table2[[#This Row],[Titel]],C68)</f>
        <v>DoubleVar</v>
      </c>
      <c r="D69" t="str">
        <f>VLOOKUP(Table2[[#This Row],[Type]],Table2[[Titel]:[Values]],2,FALSE)</f>
        <v>3.147857</v>
      </c>
      <c r="E69" t="str">
        <f ca="1">OFFSET(INDIRECT(ADDRESS(MATCH(Table2[[#This Row],[Type]],Table2[Titel],0),2)),2,0)</f>
        <v>0500 0000 0000 0000 9CE0 9BA6 CF2E 0940</v>
      </c>
      <c r="F69" t="s">
        <v>131</v>
      </c>
      <c r="G69" t="str">
        <f ca="1">OFFSET(INDIRECT(ADDRESS(MATCH(Table2[[#This Row],[Type]],Table2[Titel],0),2)),3,0)</f>
        <v>00 00 00 00 00 00</v>
      </c>
      <c r="H69" t="str">
        <f ca="1">OFFSET(INDIRECT(ADDRESS(MATCH(Table2[[#This Row],[Type]],Table2[Titel],0),2)),4,0)</f>
        <v>40 09 2E CF A6 9B E0 9C</v>
      </c>
      <c r="I69" t="str">
        <f ca="1">OFFSET(INDIRECT(ADDRESS(MATCH(Table2[[#This Row],[Type]],Table2[Titel],0),2)),5,0)</f>
        <v>0500</v>
      </c>
      <c r="J69" s="1" t="b">
        <f t="shared" si="2"/>
        <v>0</v>
      </c>
      <c r="K69" s="1" t="str">
        <f ca="1">LEFT(Table2[[#This Row],[VarType:]],2)</f>
        <v>05</v>
      </c>
      <c r="L69" s="1" t="b">
        <f ca="1">HEX2DEC(Table2[[#This Row],[VarType:]])&gt;=HEX2DEC(VT_Stuff!$C$37)</f>
        <v>0</v>
      </c>
    </row>
    <row r="70" spans="1:12" hidden="1" x14ac:dyDescent="0.55000000000000004">
      <c r="A70" s="3" t="s">
        <v>34</v>
      </c>
      <c r="B70" s="3" t="s">
        <v>35</v>
      </c>
      <c r="C70" s="1" t="str">
        <f>IF(MOD(ROW(),6 )= 2,Table2[[#This Row],[Titel]],C69)</f>
        <v>DoubleVar</v>
      </c>
      <c r="D70" t="str">
        <f>VLOOKUP(Table2[[#This Row],[Type]],Table2[[Titel]:[Values]],2,FALSE)</f>
        <v>3.147857</v>
      </c>
      <c r="E70" t="str">
        <f ca="1">OFFSET(INDIRECT(ADDRESS(MATCH(Table2[[#This Row],[Type]],Table2[Titel],0),2)),2,0)</f>
        <v>0500 0000 0000 0000 9CE0 9BA6 CF2E 0940</v>
      </c>
      <c r="F70" t="s">
        <v>131</v>
      </c>
      <c r="G70" t="str">
        <f ca="1">OFFSET(INDIRECT(ADDRESS(MATCH(Table2[[#This Row],[Type]],Table2[Titel],0),2)),3,0)</f>
        <v>00 00 00 00 00 00</v>
      </c>
      <c r="H70" t="str">
        <f ca="1">OFFSET(INDIRECT(ADDRESS(MATCH(Table2[[#This Row],[Type]],Table2[Titel],0),2)),4,0)</f>
        <v>40 09 2E CF A6 9B E0 9C</v>
      </c>
      <c r="I70" t="str">
        <f ca="1">OFFSET(INDIRECT(ADDRESS(MATCH(Table2[[#This Row],[Type]],Table2[Titel],0),2)),5,0)</f>
        <v>0500</v>
      </c>
      <c r="J70" s="1" t="b">
        <f t="shared" si="2"/>
        <v>0</v>
      </c>
      <c r="K70" s="1" t="str">
        <f ca="1">LEFT(Table2[[#This Row],[VarType:]],2)</f>
        <v>05</v>
      </c>
      <c r="L70" s="1" t="b">
        <f ca="1">HEX2DEC(Table2[[#This Row],[VarType:]])&gt;=HEX2DEC(VT_Stuff!$C$37)</f>
        <v>0</v>
      </c>
    </row>
    <row r="71" spans="1:12" hidden="1" x14ac:dyDescent="0.55000000000000004">
      <c r="A71" s="3" t="s">
        <v>36</v>
      </c>
      <c r="B71" s="3" t="s">
        <v>48</v>
      </c>
      <c r="C71" s="1" t="str">
        <f>IF(MOD(ROW(),6 )= 2,Table2[[#This Row],[Titel]],C70)</f>
        <v>DoubleVar</v>
      </c>
      <c r="D71" t="str">
        <f>VLOOKUP(Table2[[#This Row],[Type]],Table2[[Titel]:[Values]],2,FALSE)</f>
        <v>3.147857</v>
      </c>
      <c r="E71" t="str">
        <f ca="1">OFFSET(INDIRECT(ADDRESS(MATCH(Table2[[#This Row],[Type]],Table2[Titel],0),2)),2,0)</f>
        <v>0500 0000 0000 0000 9CE0 9BA6 CF2E 0940</v>
      </c>
      <c r="F71" t="s">
        <v>131</v>
      </c>
      <c r="G71" t="str">
        <f ca="1">OFFSET(INDIRECT(ADDRESS(MATCH(Table2[[#This Row],[Type]],Table2[Titel],0),2)),3,0)</f>
        <v>00 00 00 00 00 00</v>
      </c>
      <c r="H71" t="str">
        <f ca="1">OFFSET(INDIRECT(ADDRESS(MATCH(Table2[[#This Row],[Type]],Table2[Titel],0),2)),4,0)</f>
        <v>40 09 2E CF A6 9B E0 9C</v>
      </c>
      <c r="I71" t="str">
        <f ca="1">OFFSET(INDIRECT(ADDRESS(MATCH(Table2[[#This Row],[Type]],Table2[Titel],0),2)),5,0)</f>
        <v>0500</v>
      </c>
      <c r="J71" s="1" t="b">
        <f t="shared" si="2"/>
        <v>0</v>
      </c>
      <c r="K71" s="1" t="str">
        <f ca="1">LEFT(Table2[[#This Row],[VarType:]],2)</f>
        <v>05</v>
      </c>
      <c r="L71" s="1" t="b">
        <f ca="1">HEX2DEC(Table2[[#This Row],[VarType:]])&gt;=HEX2DEC(VT_Stuff!$C$37)</f>
        <v>0</v>
      </c>
    </row>
    <row r="72" spans="1:12" hidden="1" x14ac:dyDescent="0.55000000000000004">
      <c r="A72" s="3" t="s">
        <v>38</v>
      </c>
      <c r="B72" s="3" t="s">
        <v>76</v>
      </c>
      <c r="C72" s="1" t="str">
        <f>IF(MOD(ROW(),6 )= 2,Table2[[#This Row],[Titel]],C71)</f>
        <v>DoubleVar</v>
      </c>
      <c r="D72" t="str">
        <f>VLOOKUP(Table2[[#This Row],[Type]],Table2[[Titel]:[Values]],2,FALSE)</f>
        <v>3.147857</v>
      </c>
      <c r="E72" t="str">
        <f ca="1">OFFSET(INDIRECT(ADDRESS(MATCH(Table2[[#This Row],[Type]],Table2[Titel],0),2)),2,0)</f>
        <v>0500 0000 0000 0000 9CE0 9BA6 CF2E 0940</v>
      </c>
      <c r="F72" t="s">
        <v>131</v>
      </c>
      <c r="G72" t="str">
        <f ca="1">OFFSET(INDIRECT(ADDRESS(MATCH(Table2[[#This Row],[Type]],Table2[Titel],0),2)),3,0)</f>
        <v>00 00 00 00 00 00</v>
      </c>
      <c r="H72" t="str">
        <f ca="1">OFFSET(INDIRECT(ADDRESS(MATCH(Table2[[#This Row],[Type]],Table2[Titel],0),2)),4,0)</f>
        <v>40 09 2E CF A6 9B E0 9C</v>
      </c>
      <c r="I72" t="str">
        <f ca="1">OFFSET(INDIRECT(ADDRESS(MATCH(Table2[[#This Row],[Type]],Table2[Titel],0),2)),5,0)</f>
        <v>0500</v>
      </c>
      <c r="J72" s="1" t="b">
        <f t="shared" si="2"/>
        <v>0</v>
      </c>
      <c r="K72" s="1" t="str">
        <f ca="1">LEFT(Table2[[#This Row],[VarType:]],2)</f>
        <v>05</v>
      </c>
      <c r="L72" s="1" t="b">
        <f ca="1">HEX2DEC(Table2[[#This Row],[VarType:]])&gt;=HEX2DEC(VT_Stuff!$C$37)</f>
        <v>0</v>
      </c>
    </row>
    <row r="73" spans="1:12" hidden="1" x14ac:dyDescent="0.55000000000000004">
      <c r="A73" s="3"/>
      <c r="B73" s="3"/>
      <c r="C73" s="1" t="str">
        <f>IF(MOD(ROW(),6 )= 2,Table2[[#This Row],[Titel]],C72)</f>
        <v>DoubleVar</v>
      </c>
      <c r="D73" s="1" t="str">
        <f>VLOOKUP(Table2[[#This Row],[Type]],Table2[[Titel]:[Values]],2,FALSE)</f>
        <v>3.147857</v>
      </c>
      <c r="E73" s="1" t="str">
        <f ca="1">OFFSET(INDIRECT(ADDRESS(MATCH(Table2[[#This Row],[Type]],Table2[Titel],0),2)),2,0)</f>
        <v>0500 0000 0000 0000 9CE0 9BA6 CF2E 0940</v>
      </c>
      <c r="F73" s="1" t="s">
        <v>131</v>
      </c>
      <c r="G73" s="1" t="str">
        <f ca="1">OFFSET(INDIRECT(ADDRESS(MATCH(Table2[[#This Row],[Type]],Table2[Titel],0),2)),3,0)</f>
        <v>00 00 00 00 00 00</v>
      </c>
      <c r="H73" s="1" t="str">
        <f ca="1">OFFSET(INDIRECT(ADDRESS(MATCH(Table2[[#This Row],[Type]],Table2[Titel],0),2)),4,0)</f>
        <v>40 09 2E CF A6 9B E0 9C</v>
      </c>
      <c r="I73" s="1" t="str">
        <f ca="1">OFFSET(INDIRECT(ADDRESS(MATCH(Table2[[#This Row],[Type]],Table2[Titel],0),2)),5,0)</f>
        <v>0500</v>
      </c>
      <c r="J73" s="1" t="b">
        <f t="shared" si="2"/>
        <v>0</v>
      </c>
      <c r="K73" s="1" t="str">
        <f ca="1">LEFT(Table2[[#This Row],[VarType:]],2)</f>
        <v>05</v>
      </c>
      <c r="L73" s="1" t="b">
        <f ca="1">HEX2DEC(Table2[[#This Row],[VarType:]])&gt;=HEX2DEC(VT_Stuff!$C$37)</f>
        <v>0</v>
      </c>
    </row>
    <row r="74" spans="1:12" x14ac:dyDescent="0.55000000000000004">
      <c r="A74" s="3" t="s">
        <v>85</v>
      </c>
      <c r="B74" s="3" t="s">
        <v>86</v>
      </c>
      <c r="C74" s="1" t="str">
        <f>IF(MOD(ROW(),6 )= 2,Table2[[#This Row],[Titel]],C73)</f>
        <v>Application</v>
      </c>
      <c r="D74" s="1" t="str">
        <f>VLOOKUP(Table2[[#This Row],[Type]],Table2[[Titel]:[Values]],2,FALSE)</f>
        <v>Microsoft Excel</v>
      </c>
      <c r="E74" s="1" t="str">
        <f ca="1">OFFSET(INDIRECT(ADDRESS(MATCH(Table2[[#This Row],[Type]],Table2[Titel],0),2)),2,0)</f>
        <v>0900 0000 0000 0000 982E 9914 0000 0000</v>
      </c>
      <c r="F74" s="1" t="s">
        <v>137</v>
      </c>
      <c r="G74" s="1" t="str">
        <f ca="1">OFFSET(INDIRECT(ADDRESS(MATCH(Table2[[#This Row],[Type]],Table2[Titel],0),2)),3,0)</f>
        <v>00 00 00 00 00 00</v>
      </c>
      <c r="H74" s="1" t="str">
        <f ca="1">OFFSET(INDIRECT(ADDRESS(MATCH(Table2[[#This Row],[Type]],Table2[Titel],0),2)),4,0)</f>
        <v>00 00 00 00 14 99 2E 98</v>
      </c>
      <c r="I74" s="1" t="str">
        <f ca="1">OFFSET(INDIRECT(ADDRESS(MATCH(Table2[[#This Row],[Type]],Table2[Titel],0),2)),5,0)</f>
        <v>0900</v>
      </c>
      <c r="J74" s="1" t="b">
        <f t="shared" si="2"/>
        <v>1</v>
      </c>
      <c r="K74" s="1" t="str">
        <f ca="1">LEFT(Table2[[#This Row],[VarType:]],2)</f>
        <v>09</v>
      </c>
      <c r="L74" s="1"/>
    </row>
    <row r="75" spans="1:12" hidden="1" x14ac:dyDescent="0.55000000000000004">
      <c r="A75" s="3" t="s">
        <v>32</v>
      </c>
      <c r="B75" s="3" t="s">
        <v>87</v>
      </c>
      <c r="C75" s="1" t="str">
        <f>IF(MOD(ROW(),6 )= 2,Table2[[#This Row],[Titel]],C74)</f>
        <v>Application</v>
      </c>
      <c r="D75" s="1" t="str">
        <f>VLOOKUP(Table2[[#This Row],[Type]],Table2[[Titel]:[Values]],2,FALSE)</f>
        <v>Microsoft Excel</v>
      </c>
      <c r="E75" s="1" t="str">
        <f ca="1">OFFSET(INDIRECT(ADDRESS(MATCH(Table2[[#This Row],[Type]],Table2[Titel],0),2)),2,0)</f>
        <v>0900 0000 0000 0000 982E 9914 0000 0000</v>
      </c>
      <c r="F75" s="1" t="s">
        <v>131</v>
      </c>
      <c r="G75" s="1" t="str">
        <f ca="1">OFFSET(INDIRECT(ADDRESS(MATCH(Table2[[#This Row],[Type]],Table2[Titel],0),2)),3,0)</f>
        <v>00 00 00 00 00 00</v>
      </c>
      <c r="H75" s="1" t="str">
        <f ca="1">OFFSET(INDIRECT(ADDRESS(MATCH(Table2[[#This Row],[Type]],Table2[Titel],0),2)),4,0)</f>
        <v>00 00 00 00 14 99 2E 98</v>
      </c>
      <c r="I75" s="1" t="str">
        <f ca="1">OFFSET(INDIRECT(ADDRESS(MATCH(Table2[[#This Row],[Type]],Table2[Titel],0),2)),5,0)</f>
        <v>0900</v>
      </c>
      <c r="J75" s="1" t="b">
        <f t="shared" si="2"/>
        <v>0</v>
      </c>
      <c r="K75" s="1" t="str">
        <f ca="1">LEFT(Table2[[#This Row],[VarType:]],2)</f>
        <v>09</v>
      </c>
      <c r="L75" s="1" t="b">
        <f ca="1">HEX2DEC(Table2[[#This Row],[VarType:]])&gt;=HEX2DEC(VT_Stuff!$C$37)</f>
        <v>0</v>
      </c>
    </row>
    <row r="76" spans="1:12" hidden="1" x14ac:dyDescent="0.55000000000000004">
      <c r="A76" s="3" t="s">
        <v>34</v>
      </c>
      <c r="B76" s="3" t="s">
        <v>35</v>
      </c>
      <c r="C76" s="1" t="str">
        <f>IF(MOD(ROW(),6 )= 2,Table2[[#This Row],[Titel]],C75)</f>
        <v>Application</v>
      </c>
      <c r="D76" s="1" t="str">
        <f>VLOOKUP(Table2[[#This Row],[Type]],Table2[[Titel]:[Values]],2,FALSE)</f>
        <v>Microsoft Excel</v>
      </c>
      <c r="E76" s="1" t="str">
        <f ca="1">OFFSET(INDIRECT(ADDRESS(MATCH(Table2[[#This Row],[Type]],Table2[Titel],0),2)),2,0)</f>
        <v>0900 0000 0000 0000 982E 9914 0000 0000</v>
      </c>
      <c r="F76" s="1" t="s">
        <v>131</v>
      </c>
      <c r="G76" s="1" t="str">
        <f ca="1">OFFSET(INDIRECT(ADDRESS(MATCH(Table2[[#This Row],[Type]],Table2[Titel],0),2)),3,0)</f>
        <v>00 00 00 00 00 00</v>
      </c>
      <c r="H76" s="1" t="str">
        <f ca="1">OFFSET(INDIRECT(ADDRESS(MATCH(Table2[[#This Row],[Type]],Table2[Titel],0),2)),4,0)</f>
        <v>00 00 00 00 14 99 2E 98</v>
      </c>
      <c r="I76" s="1" t="str">
        <f ca="1">OFFSET(INDIRECT(ADDRESS(MATCH(Table2[[#This Row],[Type]],Table2[Titel],0),2)),5,0)</f>
        <v>0900</v>
      </c>
      <c r="J76" s="1" t="b">
        <f t="shared" si="2"/>
        <v>0</v>
      </c>
      <c r="K76" s="1" t="str">
        <f ca="1">LEFT(Table2[[#This Row],[VarType:]],2)</f>
        <v>09</v>
      </c>
      <c r="L76" s="1" t="b">
        <f ca="1">HEX2DEC(Table2[[#This Row],[VarType:]])&gt;=HEX2DEC(VT_Stuff!$C$37)</f>
        <v>0</v>
      </c>
    </row>
    <row r="77" spans="1:12" hidden="1" x14ac:dyDescent="0.55000000000000004">
      <c r="A77" s="3" t="s">
        <v>36</v>
      </c>
      <c r="B77" s="3" t="s">
        <v>88</v>
      </c>
      <c r="C77" s="1" t="str">
        <f>IF(MOD(ROW(),6 )= 2,Table2[[#This Row],[Titel]],C76)</f>
        <v>Application</v>
      </c>
      <c r="D77" s="1" t="str">
        <f>VLOOKUP(Table2[[#This Row],[Type]],Table2[[Titel]:[Values]],2,FALSE)</f>
        <v>Microsoft Excel</v>
      </c>
      <c r="E77" s="1" t="str">
        <f ca="1">OFFSET(INDIRECT(ADDRESS(MATCH(Table2[[#This Row],[Type]],Table2[Titel],0),2)),2,0)</f>
        <v>0900 0000 0000 0000 982E 9914 0000 0000</v>
      </c>
      <c r="F77" s="1" t="s">
        <v>131</v>
      </c>
      <c r="G77" s="1" t="str">
        <f ca="1">OFFSET(INDIRECT(ADDRESS(MATCH(Table2[[#This Row],[Type]],Table2[Titel],0),2)),3,0)</f>
        <v>00 00 00 00 00 00</v>
      </c>
      <c r="H77" s="1" t="str">
        <f ca="1">OFFSET(INDIRECT(ADDRESS(MATCH(Table2[[#This Row],[Type]],Table2[Titel],0),2)),4,0)</f>
        <v>00 00 00 00 14 99 2E 98</v>
      </c>
      <c r="I77" s="1" t="str">
        <f ca="1">OFFSET(INDIRECT(ADDRESS(MATCH(Table2[[#This Row],[Type]],Table2[Titel],0),2)),5,0)</f>
        <v>0900</v>
      </c>
      <c r="J77" s="1" t="b">
        <f t="shared" si="2"/>
        <v>0</v>
      </c>
      <c r="K77" s="1" t="str">
        <f ca="1">LEFT(Table2[[#This Row],[VarType:]],2)</f>
        <v>09</v>
      </c>
      <c r="L77" s="1" t="b">
        <f ca="1">HEX2DEC(Table2[[#This Row],[VarType:]])&gt;=HEX2DEC(VT_Stuff!$C$37)</f>
        <v>0</v>
      </c>
    </row>
    <row r="78" spans="1:12" hidden="1" x14ac:dyDescent="0.55000000000000004">
      <c r="A78" s="3" t="s">
        <v>38</v>
      </c>
      <c r="B78" s="3" t="s">
        <v>89</v>
      </c>
      <c r="C78" s="1" t="str">
        <f>IF(MOD(ROW(),6 )= 2,Table2[[#This Row],[Titel]],C77)</f>
        <v>Application</v>
      </c>
      <c r="D78" s="1" t="str">
        <f>VLOOKUP(Table2[[#This Row],[Type]],Table2[[Titel]:[Values]],2,FALSE)</f>
        <v>Microsoft Excel</v>
      </c>
      <c r="E78" s="1" t="str">
        <f ca="1">OFFSET(INDIRECT(ADDRESS(MATCH(Table2[[#This Row],[Type]],Table2[Titel],0),2)),2,0)</f>
        <v>0900 0000 0000 0000 982E 9914 0000 0000</v>
      </c>
      <c r="F78" s="1" t="s">
        <v>131</v>
      </c>
      <c r="G78" s="1" t="str">
        <f ca="1">OFFSET(INDIRECT(ADDRESS(MATCH(Table2[[#This Row],[Type]],Table2[Titel],0),2)),3,0)</f>
        <v>00 00 00 00 00 00</v>
      </c>
      <c r="H78" s="1" t="str">
        <f ca="1">OFFSET(INDIRECT(ADDRESS(MATCH(Table2[[#This Row],[Type]],Table2[Titel],0),2)),4,0)</f>
        <v>00 00 00 00 14 99 2E 98</v>
      </c>
      <c r="I78" s="1" t="str">
        <f ca="1">OFFSET(INDIRECT(ADDRESS(MATCH(Table2[[#This Row],[Type]],Table2[Titel],0),2)),5,0)</f>
        <v>0900</v>
      </c>
      <c r="J78" s="1" t="b">
        <f t="shared" si="2"/>
        <v>0</v>
      </c>
      <c r="K78" s="1" t="str">
        <f ca="1">LEFT(Table2[[#This Row],[VarType:]],2)</f>
        <v>09</v>
      </c>
      <c r="L78" s="1" t="b">
        <f ca="1">HEX2DEC(Table2[[#This Row],[VarType:]])&gt;=HEX2DEC(VT_Stuff!$C$37)</f>
        <v>0</v>
      </c>
    </row>
    <row r="79" spans="1:12" hidden="1" x14ac:dyDescent="0.55000000000000004">
      <c r="A79" s="3"/>
      <c r="B79" s="3"/>
      <c r="C79" s="1" t="str">
        <f>IF(MOD(ROW(),6 )= 2,Table2[[#This Row],[Titel]],C78)</f>
        <v>Application</v>
      </c>
      <c r="D79" s="1" t="str">
        <f>VLOOKUP(Table2[[#This Row],[Type]],Table2[[Titel]:[Values]],2,FALSE)</f>
        <v>Microsoft Excel</v>
      </c>
      <c r="E79" s="1" t="str">
        <f ca="1">OFFSET(INDIRECT(ADDRESS(MATCH(Table2[[#This Row],[Type]],Table2[Titel],0),2)),2,0)</f>
        <v>0900 0000 0000 0000 982E 9914 0000 0000</v>
      </c>
      <c r="F79" s="1" t="s">
        <v>131</v>
      </c>
      <c r="G79" s="1" t="str">
        <f ca="1">OFFSET(INDIRECT(ADDRESS(MATCH(Table2[[#This Row],[Type]],Table2[Titel],0),2)),3,0)</f>
        <v>00 00 00 00 00 00</v>
      </c>
      <c r="H79" s="1" t="str">
        <f ca="1">OFFSET(INDIRECT(ADDRESS(MATCH(Table2[[#This Row],[Type]],Table2[Titel],0),2)),4,0)</f>
        <v>00 00 00 00 14 99 2E 98</v>
      </c>
      <c r="I79" s="1" t="str">
        <f ca="1">OFFSET(INDIRECT(ADDRESS(MATCH(Table2[[#This Row],[Type]],Table2[Titel],0),2)),5,0)</f>
        <v>0900</v>
      </c>
      <c r="J79" s="1" t="b">
        <f t="shared" si="2"/>
        <v>0</v>
      </c>
      <c r="K79" s="1" t="str">
        <f ca="1">LEFT(Table2[[#This Row],[VarType:]],2)</f>
        <v>09</v>
      </c>
      <c r="L79" s="1" t="b">
        <f ca="1">HEX2DEC(Table2[[#This Row],[VarType:]])&gt;=HEX2DEC(VT_Stuff!$C$37)</f>
        <v>0</v>
      </c>
    </row>
    <row r="80" spans="1:12" x14ac:dyDescent="0.55000000000000004">
      <c r="A80" s="3" t="s">
        <v>90</v>
      </c>
      <c r="B80" s="3"/>
      <c r="C80" s="1" t="str">
        <f>IF(MOD(ROW(),6 )= 2,Table2[[#This Row],[Titel]],C79)</f>
        <v>Collection</v>
      </c>
      <c r="D80" s="1">
        <f>VLOOKUP(Table2[[#This Row],[Type]],Table2[[Titel]:[Values]],2,FALSE)</f>
        <v>0</v>
      </c>
      <c r="E80" s="1" t="str">
        <f ca="1">OFFSET(INDIRECT(ADDRESS(MATCH(Table2[[#This Row],[Type]],Table2[Titel],0),2)),2,0)</f>
        <v>0900 0000 0000 0000 D8F9 AE3A 0000 0000</v>
      </c>
      <c r="F80" s="1" t="s">
        <v>138</v>
      </c>
      <c r="G80" s="1" t="str">
        <f ca="1">OFFSET(INDIRECT(ADDRESS(MATCH(Table2[[#This Row],[Type]],Table2[Titel],0),2)),3,0)</f>
        <v>00 00 00 00 00 00</v>
      </c>
      <c r="H80" s="1" t="str">
        <f ca="1">OFFSET(INDIRECT(ADDRESS(MATCH(Table2[[#This Row],[Type]],Table2[Titel],0),2)),4,0)</f>
        <v>00 00 00 00 3A AE F9 D8</v>
      </c>
      <c r="I80" s="1" t="str">
        <f ca="1">OFFSET(INDIRECT(ADDRESS(MATCH(Table2[[#This Row],[Type]],Table2[Titel],0),2)),5,0)</f>
        <v>0900</v>
      </c>
      <c r="J80" s="1" t="b">
        <f t="shared" si="2"/>
        <v>1</v>
      </c>
      <c r="K80" s="1" t="str">
        <f ca="1">LEFT(Table2[[#This Row],[VarType:]],2)</f>
        <v>09</v>
      </c>
      <c r="L80" s="1"/>
    </row>
    <row r="81" spans="1:12" hidden="1" x14ac:dyDescent="0.55000000000000004">
      <c r="A81" s="3" t="s">
        <v>32</v>
      </c>
      <c r="B81" s="3" t="s">
        <v>91</v>
      </c>
      <c r="C81" s="1" t="str">
        <f>IF(MOD(ROW(),6 )= 2,Table2[[#This Row],[Titel]],C80)</f>
        <v>Collection</v>
      </c>
      <c r="D81" s="1">
        <f>VLOOKUP(Table2[[#This Row],[Type]],Table2[[Titel]:[Values]],2,FALSE)</f>
        <v>0</v>
      </c>
      <c r="E81" s="1" t="str">
        <f ca="1">OFFSET(INDIRECT(ADDRESS(MATCH(Table2[[#This Row],[Type]],Table2[Titel],0),2)),2,0)</f>
        <v>0900 0000 0000 0000 D8F9 AE3A 0000 0000</v>
      </c>
      <c r="F81" s="1" t="s">
        <v>131</v>
      </c>
      <c r="G81" s="1" t="str">
        <f ca="1">OFFSET(INDIRECT(ADDRESS(MATCH(Table2[[#This Row],[Type]],Table2[Titel],0),2)),3,0)</f>
        <v>00 00 00 00 00 00</v>
      </c>
      <c r="H81" s="1" t="str">
        <f ca="1">OFFSET(INDIRECT(ADDRESS(MATCH(Table2[[#This Row],[Type]],Table2[Titel],0),2)),4,0)</f>
        <v>00 00 00 00 3A AE F9 D8</v>
      </c>
      <c r="I81" s="1" t="str">
        <f ca="1">OFFSET(INDIRECT(ADDRESS(MATCH(Table2[[#This Row],[Type]],Table2[Titel],0),2)),5,0)</f>
        <v>0900</v>
      </c>
      <c r="J81" s="1" t="b">
        <f t="shared" si="2"/>
        <v>0</v>
      </c>
      <c r="K81" s="1" t="str">
        <f ca="1">LEFT(Table2[[#This Row],[VarType:]],2)</f>
        <v>09</v>
      </c>
      <c r="L81" s="1" t="b">
        <f ca="1">HEX2DEC(Table2[[#This Row],[VarType:]])&gt;=HEX2DEC(VT_Stuff!$C$37)</f>
        <v>0</v>
      </c>
    </row>
    <row r="82" spans="1:12" hidden="1" x14ac:dyDescent="0.55000000000000004">
      <c r="A82" s="3" t="s">
        <v>34</v>
      </c>
      <c r="B82" s="3" t="s">
        <v>35</v>
      </c>
      <c r="C82" s="1" t="str">
        <f>IF(MOD(ROW(),6 )= 2,Table2[[#This Row],[Titel]],C81)</f>
        <v>Collection</v>
      </c>
      <c r="D82" s="1">
        <f>VLOOKUP(Table2[[#This Row],[Type]],Table2[[Titel]:[Values]],2,FALSE)</f>
        <v>0</v>
      </c>
      <c r="E82" s="1" t="str">
        <f ca="1">OFFSET(INDIRECT(ADDRESS(MATCH(Table2[[#This Row],[Type]],Table2[Titel],0),2)),2,0)</f>
        <v>0900 0000 0000 0000 D8F9 AE3A 0000 0000</v>
      </c>
      <c r="F82" s="1" t="s">
        <v>131</v>
      </c>
      <c r="G82" s="1" t="str">
        <f ca="1">OFFSET(INDIRECT(ADDRESS(MATCH(Table2[[#This Row],[Type]],Table2[Titel],0),2)),3,0)</f>
        <v>00 00 00 00 00 00</v>
      </c>
      <c r="H82" s="1" t="str">
        <f ca="1">OFFSET(INDIRECT(ADDRESS(MATCH(Table2[[#This Row],[Type]],Table2[Titel],0),2)),4,0)</f>
        <v>00 00 00 00 3A AE F9 D8</v>
      </c>
      <c r="I82" s="1" t="str">
        <f ca="1">OFFSET(INDIRECT(ADDRESS(MATCH(Table2[[#This Row],[Type]],Table2[Titel],0),2)),5,0)</f>
        <v>0900</v>
      </c>
      <c r="J82" s="1" t="b">
        <f t="shared" si="2"/>
        <v>0</v>
      </c>
      <c r="K82" s="1" t="str">
        <f ca="1">LEFT(Table2[[#This Row],[VarType:]],2)</f>
        <v>09</v>
      </c>
      <c r="L82" s="1" t="b">
        <f ca="1">HEX2DEC(Table2[[#This Row],[VarType:]])&gt;=HEX2DEC(VT_Stuff!$C$37)</f>
        <v>0</v>
      </c>
    </row>
    <row r="83" spans="1:12" hidden="1" x14ac:dyDescent="0.55000000000000004">
      <c r="A83" s="3" t="s">
        <v>36</v>
      </c>
      <c r="B83" s="3" t="s">
        <v>92</v>
      </c>
      <c r="C83" s="1" t="str">
        <f>IF(MOD(ROW(),6 )= 2,Table2[[#This Row],[Titel]],C82)</f>
        <v>Collection</v>
      </c>
      <c r="D83" s="1">
        <f>VLOOKUP(Table2[[#This Row],[Type]],Table2[[Titel]:[Values]],2,FALSE)</f>
        <v>0</v>
      </c>
      <c r="E83" s="1" t="str">
        <f ca="1">OFFSET(INDIRECT(ADDRESS(MATCH(Table2[[#This Row],[Type]],Table2[Titel],0),2)),2,0)</f>
        <v>0900 0000 0000 0000 D8F9 AE3A 0000 0000</v>
      </c>
      <c r="F83" s="1" t="s">
        <v>131</v>
      </c>
      <c r="G83" s="1" t="str">
        <f ca="1">OFFSET(INDIRECT(ADDRESS(MATCH(Table2[[#This Row],[Type]],Table2[Titel],0),2)),3,0)</f>
        <v>00 00 00 00 00 00</v>
      </c>
      <c r="H83" s="1" t="str">
        <f ca="1">OFFSET(INDIRECT(ADDRESS(MATCH(Table2[[#This Row],[Type]],Table2[Titel],0),2)),4,0)</f>
        <v>00 00 00 00 3A AE F9 D8</v>
      </c>
      <c r="I83" s="1" t="str">
        <f ca="1">OFFSET(INDIRECT(ADDRESS(MATCH(Table2[[#This Row],[Type]],Table2[Titel],0),2)),5,0)</f>
        <v>0900</v>
      </c>
      <c r="J83" s="1" t="b">
        <f t="shared" si="2"/>
        <v>0</v>
      </c>
      <c r="K83" s="1" t="str">
        <f ca="1">LEFT(Table2[[#This Row],[VarType:]],2)</f>
        <v>09</v>
      </c>
      <c r="L83" s="1" t="b">
        <f ca="1">HEX2DEC(Table2[[#This Row],[VarType:]])&gt;=HEX2DEC(VT_Stuff!$C$37)</f>
        <v>0</v>
      </c>
    </row>
    <row r="84" spans="1:12" hidden="1" x14ac:dyDescent="0.55000000000000004">
      <c r="A84" s="3" t="s">
        <v>38</v>
      </c>
      <c r="B84" s="3" t="s">
        <v>89</v>
      </c>
      <c r="C84" s="1" t="str">
        <f>IF(MOD(ROW(),6 )= 2,Table2[[#This Row],[Titel]],C83)</f>
        <v>Collection</v>
      </c>
      <c r="D84" s="1">
        <f>VLOOKUP(Table2[[#This Row],[Type]],Table2[[Titel]:[Values]],2,FALSE)</f>
        <v>0</v>
      </c>
      <c r="E84" s="1" t="str">
        <f ca="1">OFFSET(INDIRECT(ADDRESS(MATCH(Table2[[#This Row],[Type]],Table2[Titel],0),2)),2,0)</f>
        <v>0900 0000 0000 0000 D8F9 AE3A 0000 0000</v>
      </c>
      <c r="F84" s="1" t="s">
        <v>131</v>
      </c>
      <c r="G84" s="1" t="str">
        <f ca="1">OFFSET(INDIRECT(ADDRESS(MATCH(Table2[[#This Row],[Type]],Table2[Titel],0),2)),3,0)</f>
        <v>00 00 00 00 00 00</v>
      </c>
      <c r="H84" s="1" t="str">
        <f ca="1">OFFSET(INDIRECT(ADDRESS(MATCH(Table2[[#This Row],[Type]],Table2[Titel],0),2)),4,0)</f>
        <v>00 00 00 00 3A AE F9 D8</v>
      </c>
      <c r="I84" s="1" t="str">
        <f ca="1">OFFSET(INDIRECT(ADDRESS(MATCH(Table2[[#This Row],[Type]],Table2[Titel],0),2)),5,0)</f>
        <v>0900</v>
      </c>
      <c r="J84" s="1" t="b">
        <f t="shared" si="2"/>
        <v>0</v>
      </c>
      <c r="K84" s="1" t="str">
        <f ca="1">LEFT(Table2[[#This Row],[VarType:]],2)</f>
        <v>09</v>
      </c>
      <c r="L84" s="1" t="b">
        <f ca="1">HEX2DEC(Table2[[#This Row],[VarType:]])&gt;=HEX2DEC(VT_Stuff!$C$37)</f>
        <v>0</v>
      </c>
    </row>
    <row r="85" spans="1:12" hidden="1" x14ac:dyDescent="0.55000000000000004">
      <c r="A85" s="3"/>
      <c r="B85" s="3"/>
      <c r="C85" s="1" t="str">
        <f>IF(MOD(ROW(),6 )= 2,Table2[[#This Row],[Titel]],C84)</f>
        <v>Collection</v>
      </c>
      <c r="D85" s="1">
        <f>VLOOKUP(Table2[[#This Row],[Type]],Table2[[Titel]:[Values]],2,FALSE)</f>
        <v>0</v>
      </c>
      <c r="E85" s="1" t="str">
        <f ca="1">OFFSET(INDIRECT(ADDRESS(MATCH(Table2[[#This Row],[Type]],Table2[Titel],0),2)),2,0)</f>
        <v>0900 0000 0000 0000 D8F9 AE3A 0000 0000</v>
      </c>
      <c r="F85" s="1" t="s">
        <v>131</v>
      </c>
      <c r="G85" s="1" t="str">
        <f ca="1">OFFSET(INDIRECT(ADDRESS(MATCH(Table2[[#This Row],[Type]],Table2[Titel],0),2)),3,0)</f>
        <v>00 00 00 00 00 00</v>
      </c>
      <c r="H85" s="1" t="str">
        <f ca="1">OFFSET(INDIRECT(ADDRESS(MATCH(Table2[[#This Row],[Type]],Table2[Titel],0),2)),4,0)</f>
        <v>00 00 00 00 3A AE F9 D8</v>
      </c>
      <c r="I85" s="1" t="str">
        <f ca="1">OFFSET(INDIRECT(ADDRESS(MATCH(Table2[[#This Row],[Type]],Table2[Titel],0),2)),5,0)</f>
        <v>0900</v>
      </c>
      <c r="J85" s="1" t="b">
        <f t="shared" si="2"/>
        <v>0</v>
      </c>
      <c r="K85" s="1" t="str">
        <f ca="1">LEFT(Table2[[#This Row],[VarType:]],2)</f>
        <v>09</v>
      </c>
      <c r="L85" s="1" t="b">
        <f ca="1">HEX2DEC(Table2[[#This Row],[VarType:]])&gt;=HEX2DEC(VT_Stuff!$C$37)</f>
        <v>0</v>
      </c>
    </row>
    <row r="86" spans="1:12" x14ac:dyDescent="0.55000000000000004">
      <c r="A86" s="3" t="s">
        <v>127</v>
      </c>
      <c r="B86" s="3"/>
      <c r="C86" s="1" t="str">
        <f>IF(MOD(ROW(),6 )= 2,Table2[[#This Row],[Titel]],C85)</f>
        <v>CollectionNEW</v>
      </c>
      <c r="D86" s="1">
        <f>VLOOKUP(Table2[[#This Row],[Type]],Table2[[Titel]:[Values]],2,FALSE)</f>
        <v>0</v>
      </c>
      <c r="E86" s="1" t="str">
        <f ca="1">OFFSET(INDIRECT(ADDRESS(MATCH(Table2[[#This Row],[Type]],Table2[Titel],0),2)),2,0)</f>
        <v>0900 0000 0000 0000 5804 AF3A 0000 0000</v>
      </c>
      <c r="F86" s="1" t="s">
        <v>139</v>
      </c>
      <c r="G86" s="1" t="str">
        <f ca="1">OFFSET(INDIRECT(ADDRESS(MATCH(Table2[[#This Row],[Type]],Table2[Titel],0),2)),3,0)</f>
        <v>00 00 00 00 00 00</v>
      </c>
      <c r="H86" s="1" t="str">
        <f ca="1">OFFSET(INDIRECT(ADDRESS(MATCH(Table2[[#This Row],[Type]],Table2[Titel],0),2)),4,0)</f>
        <v>00 00 00 00 3A AF 04 58</v>
      </c>
      <c r="I86" s="1" t="str">
        <f ca="1">OFFSET(INDIRECT(ADDRESS(MATCH(Table2[[#This Row],[Type]],Table2[Titel],0),2)),5,0)</f>
        <v>0900</v>
      </c>
      <c r="J86" s="1" t="b">
        <f t="shared" si="2"/>
        <v>1</v>
      </c>
      <c r="K86" s="1" t="str">
        <f ca="1">LEFT(Table2[[#This Row],[VarType:]],2)</f>
        <v>09</v>
      </c>
      <c r="L86" s="1"/>
    </row>
    <row r="87" spans="1:12" hidden="1" x14ac:dyDescent="0.55000000000000004">
      <c r="A87" s="3" t="s">
        <v>32</v>
      </c>
      <c r="B87" s="3" t="s">
        <v>93</v>
      </c>
      <c r="C87" s="1" t="str">
        <f>IF(MOD(ROW(),6 )= 2,Table2[[#This Row],[Titel]],C86)</f>
        <v>CollectionNEW</v>
      </c>
      <c r="D87" s="1">
        <f>VLOOKUP(Table2[[#This Row],[Type]],Table2[[Titel]:[Values]],2,FALSE)</f>
        <v>0</v>
      </c>
      <c r="E87" s="1" t="str">
        <f ca="1">OFFSET(INDIRECT(ADDRESS(MATCH(Table2[[#This Row],[Type]],Table2[Titel],0),2)),2,0)</f>
        <v>0900 0000 0000 0000 5804 AF3A 0000 0000</v>
      </c>
      <c r="F87" s="1" t="s">
        <v>131</v>
      </c>
      <c r="G87" s="1" t="str">
        <f ca="1">OFFSET(INDIRECT(ADDRESS(MATCH(Table2[[#This Row],[Type]],Table2[Titel],0),2)),3,0)</f>
        <v>00 00 00 00 00 00</v>
      </c>
      <c r="H87" s="1" t="str">
        <f ca="1">OFFSET(INDIRECT(ADDRESS(MATCH(Table2[[#This Row],[Type]],Table2[Titel],0),2)),4,0)</f>
        <v>00 00 00 00 3A AF 04 58</v>
      </c>
      <c r="I87" s="1" t="str">
        <f ca="1">OFFSET(INDIRECT(ADDRESS(MATCH(Table2[[#This Row],[Type]],Table2[Titel],0),2)),5,0)</f>
        <v>0900</v>
      </c>
      <c r="J87" s="1" t="b">
        <f t="shared" si="2"/>
        <v>0</v>
      </c>
      <c r="K87" s="1" t="str">
        <f ca="1">LEFT(Table2[[#This Row],[VarType:]],2)</f>
        <v>09</v>
      </c>
      <c r="L87" s="1" t="b">
        <f ca="1">HEX2DEC(Table2[[#This Row],[VarType:]])&gt;=HEX2DEC(VT_Stuff!$C$37)</f>
        <v>0</v>
      </c>
    </row>
    <row r="88" spans="1:12" hidden="1" x14ac:dyDescent="0.55000000000000004">
      <c r="A88" s="3" t="s">
        <v>34</v>
      </c>
      <c r="B88" s="3" t="s">
        <v>35</v>
      </c>
      <c r="C88" s="1" t="str">
        <f>IF(MOD(ROW(),6 )= 2,Table2[[#This Row],[Titel]],C87)</f>
        <v>CollectionNEW</v>
      </c>
      <c r="D88" s="1">
        <f>VLOOKUP(Table2[[#This Row],[Type]],Table2[[Titel]:[Values]],2,FALSE)</f>
        <v>0</v>
      </c>
      <c r="E88" s="1" t="str">
        <f ca="1">OFFSET(INDIRECT(ADDRESS(MATCH(Table2[[#This Row],[Type]],Table2[Titel],0),2)),2,0)</f>
        <v>0900 0000 0000 0000 5804 AF3A 0000 0000</v>
      </c>
      <c r="F88" s="1" t="s">
        <v>131</v>
      </c>
      <c r="G88" s="1" t="str">
        <f ca="1">OFFSET(INDIRECT(ADDRESS(MATCH(Table2[[#This Row],[Type]],Table2[Titel],0),2)),3,0)</f>
        <v>00 00 00 00 00 00</v>
      </c>
      <c r="H88" s="1" t="str">
        <f ca="1">OFFSET(INDIRECT(ADDRESS(MATCH(Table2[[#This Row],[Type]],Table2[Titel],0),2)),4,0)</f>
        <v>00 00 00 00 3A AF 04 58</v>
      </c>
      <c r="I88" s="1" t="str">
        <f ca="1">OFFSET(INDIRECT(ADDRESS(MATCH(Table2[[#This Row],[Type]],Table2[Titel],0),2)),5,0)</f>
        <v>0900</v>
      </c>
      <c r="J88" s="1" t="b">
        <f t="shared" si="2"/>
        <v>0</v>
      </c>
      <c r="K88" s="1" t="str">
        <f ca="1">LEFT(Table2[[#This Row],[VarType:]],2)</f>
        <v>09</v>
      </c>
      <c r="L88" s="1" t="b">
        <f ca="1">HEX2DEC(Table2[[#This Row],[VarType:]])&gt;=HEX2DEC(VT_Stuff!$C$37)</f>
        <v>0</v>
      </c>
    </row>
    <row r="89" spans="1:12" hidden="1" x14ac:dyDescent="0.55000000000000004">
      <c r="A89" s="3" t="s">
        <v>36</v>
      </c>
      <c r="B89" s="3" t="s">
        <v>94</v>
      </c>
      <c r="C89" s="1" t="str">
        <f>IF(MOD(ROW(),6 )= 2,Table2[[#This Row],[Titel]],C88)</f>
        <v>CollectionNEW</v>
      </c>
      <c r="D89" s="1">
        <f>VLOOKUP(Table2[[#This Row],[Type]],Table2[[Titel]:[Values]],2,FALSE)</f>
        <v>0</v>
      </c>
      <c r="E89" s="1" t="str">
        <f ca="1">OFFSET(INDIRECT(ADDRESS(MATCH(Table2[[#This Row],[Type]],Table2[Titel],0),2)),2,0)</f>
        <v>0900 0000 0000 0000 5804 AF3A 0000 0000</v>
      </c>
      <c r="F89" s="1" t="s">
        <v>131</v>
      </c>
      <c r="G89" s="1" t="str">
        <f ca="1">OFFSET(INDIRECT(ADDRESS(MATCH(Table2[[#This Row],[Type]],Table2[Titel],0),2)),3,0)</f>
        <v>00 00 00 00 00 00</v>
      </c>
      <c r="H89" s="1" t="str">
        <f ca="1">OFFSET(INDIRECT(ADDRESS(MATCH(Table2[[#This Row],[Type]],Table2[Titel],0),2)),4,0)</f>
        <v>00 00 00 00 3A AF 04 58</v>
      </c>
      <c r="I89" s="1" t="str">
        <f ca="1">OFFSET(INDIRECT(ADDRESS(MATCH(Table2[[#This Row],[Type]],Table2[Titel],0),2)),5,0)</f>
        <v>0900</v>
      </c>
      <c r="J89" s="1" t="b">
        <f t="shared" si="2"/>
        <v>0</v>
      </c>
      <c r="K89" s="1" t="str">
        <f ca="1">LEFT(Table2[[#This Row],[VarType:]],2)</f>
        <v>09</v>
      </c>
      <c r="L89" s="1" t="b">
        <f ca="1">HEX2DEC(Table2[[#This Row],[VarType:]])&gt;=HEX2DEC(VT_Stuff!$C$37)</f>
        <v>0</v>
      </c>
    </row>
    <row r="90" spans="1:12" hidden="1" x14ac:dyDescent="0.55000000000000004">
      <c r="A90" s="3" t="s">
        <v>38</v>
      </c>
      <c r="B90" s="3" t="s">
        <v>89</v>
      </c>
      <c r="C90" s="1" t="str">
        <f>IF(MOD(ROW(),6 )= 2,Table2[[#This Row],[Titel]],C89)</f>
        <v>CollectionNEW</v>
      </c>
      <c r="D90" s="1">
        <f>VLOOKUP(Table2[[#This Row],[Type]],Table2[[Titel]:[Values]],2,FALSE)</f>
        <v>0</v>
      </c>
      <c r="E90" s="1" t="str">
        <f ca="1">OFFSET(INDIRECT(ADDRESS(MATCH(Table2[[#This Row],[Type]],Table2[Titel],0),2)),2,0)</f>
        <v>0900 0000 0000 0000 5804 AF3A 0000 0000</v>
      </c>
      <c r="F90" s="1" t="s">
        <v>131</v>
      </c>
      <c r="G90" s="1" t="str">
        <f ca="1">OFFSET(INDIRECT(ADDRESS(MATCH(Table2[[#This Row],[Type]],Table2[Titel],0),2)),3,0)</f>
        <v>00 00 00 00 00 00</v>
      </c>
      <c r="H90" s="1" t="str">
        <f ca="1">OFFSET(INDIRECT(ADDRESS(MATCH(Table2[[#This Row],[Type]],Table2[Titel],0),2)),4,0)</f>
        <v>00 00 00 00 3A AF 04 58</v>
      </c>
      <c r="I90" s="1" t="str">
        <f ca="1">OFFSET(INDIRECT(ADDRESS(MATCH(Table2[[#This Row],[Type]],Table2[Titel],0),2)),5,0)</f>
        <v>0900</v>
      </c>
      <c r="J90" s="1" t="b">
        <f t="shared" si="2"/>
        <v>0</v>
      </c>
      <c r="K90" s="1" t="str">
        <f ca="1">LEFT(Table2[[#This Row],[VarType:]],2)</f>
        <v>09</v>
      </c>
      <c r="L90" s="1" t="b">
        <f ca="1">HEX2DEC(Table2[[#This Row],[VarType:]])&gt;=HEX2DEC(VT_Stuff!$C$37)</f>
        <v>0</v>
      </c>
    </row>
    <row r="91" spans="1:12" hidden="1" x14ac:dyDescent="0.55000000000000004">
      <c r="A91" s="3"/>
      <c r="B91" s="3"/>
      <c r="C91" s="1" t="str">
        <f>IF(MOD(ROW(),6 )= 2,Table2[[#This Row],[Titel]],C90)</f>
        <v>CollectionNEW</v>
      </c>
      <c r="D91" s="1">
        <f>VLOOKUP(Table2[[#This Row],[Type]],Table2[[Titel]:[Values]],2,FALSE)</f>
        <v>0</v>
      </c>
      <c r="E91" s="1" t="str">
        <f ca="1">OFFSET(INDIRECT(ADDRESS(MATCH(Table2[[#This Row],[Type]],Table2[Titel],0),2)),2,0)</f>
        <v>0900 0000 0000 0000 5804 AF3A 0000 0000</v>
      </c>
      <c r="F91" s="1" t="s">
        <v>131</v>
      </c>
      <c r="G91" s="1" t="str">
        <f ca="1">OFFSET(INDIRECT(ADDRESS(MATCH(Table2[[#This Row],[Type]],Table2[Titel],0),2)),3,0)</f>
        <v>00 00 00 00 00 00</v>
      </c>
      <c r="H91" s="1" t="str">
        <f ca="1">OFFSET(INDIRECT(ADDRESS(MATCH(Table2[[#This Row],[Type]],Table2[Titel],0),2)),4,0)</f>
        <v>00 00 00 00 3A AF 04 58</v>
      </c>
      <c r="I91" s="1" t="str">
        <f ca="1">OFFSET(INDIRECT(ADDRESS(MATCH(Table2[[#This Row],[Type]],Table2[Titel],0),2)),5,0)</f>
        <v>0900</v>
      </c>
      <c r="J91" s="1" t="b">
        <f t="shared" si="2"/>
        <v>0</v>
      </c>
      <c r="K91" s="1" t="str">
        <f ca="1">LEFT(Table2[[#This Row],[VarType:]],2)</f>
        <v>09</v>
      </c>
      <c r="L91" s="1" t="b">
        <f ca="1">HEX2DEC(Table2[[#This Row],[VarType:]])&gt;=HEX2DEC(VT_Stuff!$C$37)</f>
        <v>0</v>
      </c>
    </row>
    <row r="92" spans="1:12" x14ac:dyDescent="0.55000000000000004">
      <c r="A92" s="3" t="s">
        <v>95</v>
      </c>
      <c r="B92" s="3"/>
      <c r="C92" s="1" t="str">
        <f>IF(MOD(ROW(),6 )= 2,Table2[[#This Row],[Titel]],C91)</f>
        <v>Variant()</v>
      </c>
      <c r="D92" s="1">
        <f>VLOOKUP(Table2[[#This Row],[Type]],Table2[[Titel]:[Values]],2,FALSE)</f>
        <v>0</v>
      </c>
      <c r="E92" s="1" t="str">
        <f ca="1">OFFSET(INDIRECT(ADDRESS(MATCH(Table2[[#This Row],[Type]],Table2[Titel],0),2)),2,0)</f>
        <v>0C20 0000 0000 0000 78A6 CF3A 0000 0000</v>
      </c>
      <c r="F92" s="1" t="s">
        <v>140</v>
      </c>
      <c r="G92" s="1" t="str">
        <f ca="1">OFFSET(INDIRECT(ADDRESS(MATCH(Table2[[#This Row],[Type]],Table2[Titel],0),2)),3,0)</f>
        <v>00 00 00 00 00 00</v>
      </c>
      <c r="H92" s="1" t="str">
        <f ca="1">OFFSET(INDIRECT(ADDRESS(MATCH(Table2[[#This Row],[Type]],Table2[Titel],0),2)),4,0)</f>
        <v>00 00 00 00 3A CF A6 78</v>
      </c>
      <c r="I92" s="1" t="str">
        <f ca="1">OFFSET(INDIRECT(ADDRESS(MATCH(Table2[[#This Row],[Type]],Table2[Titel],0),2)),5,0)</f>
        <v>0C20</v>
      </c>
      <c r="J92" s="1" t="b">
        <f t="shared" si="2"/>
        <v>1</v>
      </c>
      <c r="K92" s="1" t="str">
        <f ca="1">LEFT(Table2[[#This Row],[VarType:]],2)</f>
        <v>0C</v>
      </c>
      <c r="L92" s="1"/>
    </row>
    <row r="93" spans="1:12" hidden="1" x14ac:dyDescent="0.55000000000000004">
      <c r="A93" s="3" t="s">
        <v>32</v>
      </c>
      <c r="B93" s="3" t="s">
        <v>96</v>
      </c>
      <c r="C93" s="1" t="str">
        <f>IF(MOD(ROW(),6 )= 2,Table2[[#This Row],[Titel]],C92)</f>
        <v>Variant()</v>
      </c>
      <c r="D93" s="1">
        <f>VLOOKUP(Table2[[#This Row],[Type]],Table2[[Titel]:[Values]],2,FALSE)</f>
        <v>0</v>
      </c>
      <c r="E93" s="1" t="str">
        <f ca="1">OFFSET(INDIRECT(ADDRESS(MATCH(Table2[[#This Row],[Type]],Table2[Titel],0),2)),2,0)</f>
        <v>0C20 0000 0000 0000 78A6 CF3A 0000 0000</v>
      </c>
      <c r="F93" s="1" t="s">
        <v>131</v>
      </c>
      <c r="G93" s="1" t="str">
        <f ca="1">OFFSET(INDIRECT(ADDRESS(MATCH(Table2[[#This Row],[Type]],Table2[Titel],0),2)),3,0)</f>
        <v>00 00 00 00 00 00</v>
      </c>
      <c r="H93" s="1" t="str">
        <f ca="1">OFFSET(INDIRECT(ADDRESS(MATCH(Table2[[#This Row],[Type]],Table2[Titel],0),2)),4,0)</f>
        <v>00 00 00 00 3A CF A6 78</v>
      </c>
      <c r="I93" s="1" t="str">
        <f ca="1">OFFSET(INDIRECT(ADDRESS(MATCH(Table2[[#This Row],[Type]],Table2[Titel],0),2)),5,0)</f>
        <v>0C20</v>
      </c>
      <c r="J93" s="1" t="b">
        <f t="shared" si="2"/>
        <v>0</v>
      </c>
      <c r="K93" s="1" t="str">
        <f ca="1">LEFT(Table2[[#This Row],[VarType:]],2)</f>
        <v>0C</v>
      </c>
      <c r="L93" s="1" t="b">
        <f ca="1">HEX2DEC(Table2[[#This Row],[VarType:]])&gt;=HEX2DEC(VT_Stuff!$C$37)</f>
        <v>0</v>
      </c>
    </row>
    <row r="94" spans="1:12" hidden="1" x14ac:dyDescent="0.55000000000000004">
      <c r="A94" s="3" t="s">
        <v>34</v>
      </c>
      <c r="B94" s="3" t="s">
        <v>35</v>
      </c>
      <c r="C94" s="1" t="str">
        <f>IF(MOD(ROW(),6 )= 2,Table2[[#This Row],[Titel]],C93)</f>
        <v>Variant()</v>
      </c>
      <c r="D94" s="1">
        <f>VLOOKUP(Table2[[#This Row],[Type]],Table2[[Titel]:[Values]],2,FALSE)</f>
        <v>0</v>
      </c>
      <c r="E94" s="1" t="str">
        <f ca="1">OFFSET(INDIRECT(ADDRESS(MATCH(Table2[[#This Row],[Type]],Table2[Titel],0),2)),2,0)</f>
        <v>0C20 0000 0000 0000 78A6 CF3A 0000 0000</v>
      </c>
      <c r="F94" s="1" t="s">
        <v>131</v>
      </c>
      <c r="G94" s="1" t="str">
        <f ca="1">OFFSET(INDIRECT(ADDRESS(MATCH(Table2[[#This Row],[Type]],Table2[Titel],0),2)),3,0)</f>
        <v>00 00 00 00 00 00</v>
      </c>
      <c r="H94" s="1" t="str">
        <f ca="1">OFFSET(INDIRECT(ADDRESS(MATCH(Table2[[#This Row],[Type]],Table2[Titel],0),2)),4,0)</f>
        <v>00 00 00 00 3A CF A6 78</v>
      </c>
      <c r="I94" s="1" t="str">
        <f ca="1">OFFSET(INDIRECT(ADDRESS(MATCH(Table2[[#This Row],[Type]],Table2[Titel],0),2)),5,0)</f>
        <v>0C20</v>
      </c>
      <c r="J94" s="1" t="b">
        <f t="shared" si="2"/>
        <v>0</v>
      </c>
      <c r="K94" s="1" t="str">
        <f ca="1">LEFT(Table2[[#This Row],[VarType:]],2)</f>
        <v>0C</v>
      </c>
      <c r="L94" s="1" t="b">
        <f ca="1">HEX2DEC(Table2[[#This Row],[VarType:]])&gt;=HEX2DEC(VT_Stuff!$C$37)</f>
        <v>0</v>
      </c>
    </row>
    <row r="95" spans="1:12" hidden="1" x14ac:dyDescent="0.55000000000000004">
      <c r="A95" s="3" t="s">
        <v>36</v>
      </c>
      <c r="B95" s="3" t="s">
        <v>97</v>
      </c>
      <c r="C95" s="1" t="str">
        <f>IF(MOD(ROW(),6 )= 2,Table2[[#This Row],[Titel]],C94)</f>
        <v>Variant()</v>
      </c>
      <c r="D95" s="1">
        <f>VLOOKUP(Table2[[#This Row],[Type]],Table2[[Titel]:[Values]],2,FALSE)</f>
        <v>0</v>
      </c>
      <c r="E95" s="1" t="str">
        <f ca="1">OFFSET(INDIRECT(ADDRESS(MATCH(Table2[[#This Row],[Type]],Table2[Titel],0),2)),2,0)</f>
        <v>0C20 0000 0000 0000 78A6 CF3A 0000 0000</v>
      </c>
      <c r="F95" s="1" t="s">
        <v>131</v>
      </c>
      <c r="G95" s="1" t="str">
        <f ca="1">OFFSET(INDIRECT(ADDRESS(MATCH(Table2[[#This Row],[Type]],Table2[Titel],0),2)),3,0)</f>
        <v>00 00 00 00 00 00</v>
      </c>
      <c r="H95" s="1" t="str">
        <f ca="1">OFFSET(INDIRECT(ADDRESS(MATCH(Table2[[#This Row],[Type]],Table2[Titel],0),2)),4,0)</f>
        <v>00 00 00 00 3A CF A6 78</v>
      </c>
      <c r="I95" s="1" t="str">
        <f ca="1">OFFSET(INDIRECT(ADDRESS(MATCH(Table2[[#This Row],[Type]],Table2[Titel],0),2)),5,0)</f>
        <v>0C20</v>
      </c>
      <c r="J95" s="1" t="b">
        <f t="shared" si="2"/>
        <v>0</v>
      </c>
      <c r="K95" s="1" t="str">
        <f ca="1">LEFT(Table2[[#This Row],[VarType:]],2)</f>
        <v>0C</v>
      </c>
      <c r="L95" s="1" t="b">
        <f ca="1">HEX2DEC(Table2[[#This Row],[VarType:]])&gt;=HEX2DEC(VT_Stuff!$C$37)</f>
        <v>0</v>
      </c>
    </row>
    <row r="96" spans="1:12" hidden="1" x14ac:dyDescent="0.55000000000000004">
      <c r="A96" s="3" t="s">
        <v>38</v>
      </c>
      <c r="B96" s="3" t="s">
        <v>98</v>
      </c>
      <c r="C96" s="1" t="str">
        <f>IF(MOD(ROW(),6 )= 2,Table2[[#This Row],[Titel]],C95)</f>
        <v>Variant()</v>
      </c>
      <c r="D96" s="1">
        <f>VLOOKUP(Table2[[#This Row],[Type]],Table2[[Titel]:[Values]],2,FALSE)</f>
        <v>0</v>
      </c>
      <c r="E96" s="1" t="str">
        <f ca="1">OFFSET(INDIRECT(ADDRESS(MATCH(Table2[[#This Row],[Type]],Table2[Titel],0),2)),2,0)</f>
        <v>0C20 0000 0000 0000 78A6 CF3A 0000 0000</v>
      </c>
      <c r="F96" s="1" t="s">
        <v>131</v>
      </c>
      <c r="G96" s="1" t="str">
        <f ca="1">OFFSET(INDIRECT(ADDRESS(MATCH(Table2[[#This Row],[Type]],Table2[Titel],0),2)),3,0)</f>
        <v>00 00 00 00 00 00</v>
      </c>
      <c r="H96" s="1" t="str">
        <f ca="1">OFFSET(INDIRECT(ADDRESS(MATCH(Table2[[#This Row],[Type]],Table2[Titel],0),2)),4,0)</f>
        <v>00 00 00 00 3A CF A6 78</v>
      </c>
      <c r="I96" s="1" t="str">
        <f ca="1">OFFSET(INDIRECT(ADDRESS(MATCH(Table2[[#This Row],[Type]],Table2[Titel],0),2)),5,0)</f>
        <v>0C20</v>
      </c>
      <c r="J96" s="1" t="b">
        <f t="shared" si="2"/>
        <v>0</v>
      </c>
      <c r="K96" s="1" t="str">
        <f ca="1">LEFT(Table2[[#This Row],[VarType:]],2)</f>
        <v>0C</v>
      </c>
      <c r="L96" s="1" t="b">
        <f ca="1">HEX2DEC(Table2[[#This Row],[VarType:]])&gt;=HEX2DEC(VT_Stuff!$C$37)</f>
        <v>0</v>
      </c>
    </row>
    <row r="97" spans="1:12" hidden="1" x14ac:dyDescent="0.55000000000000004">
      <c r="A97" s="3"/>
      <c r="B97" s="3"/>
      <c r="C97" s="1" t="str">
        <f>IF(MOD(ROW(),6 )= 2,Table2[[#This Row],[Titel]],C96)</f>
        <v>Variant()</v>
      </c>
      <c r="D97" s="1">
        <f>VLOOKUP(Table2[[#This Row],[Type]],Table2[[Titel]:[Values]],2,FALSE)</f>
        <v>0</v>
      </c>
      <c r="E97" s="1" t="str">
        <f ca="1">OFFSET(INDIRECT(ADDRESS(MATCH(Table2[[#This Row],[Type]],Table2[Titel],0),2)),2,0)</f>
        <v>0C20 0000 0000 0000 78A6 CF3A 0000 0000</v>
      </c>
      <c r="F97" s="1" t="s">
        <v>131</v>
      </c>
      <c r="G97" s="1" t="str">
        <f ca="1">OFFSET(INDIRECT(ADDRESS(MATCH(Table2[[#This Row],[Type]],Table2[Titel],0),2)),3,0)</f>
        <v>00 00 00 00 00 00</v>
      </c>
      <c r="H97" s="1" t="str">
        <f ca="1">OFFSET(INDIRECT(ADDRESS(MATCH(Table2[[#This Row],[Type]],Table2[Titel],0),2)),4,0)</f>
        <v>00 00 00 00 3A CF A6 78</v>
      </c>
      <c r="I97" s="1" t="str">
        <f ca="1">OFFSET(INDIRECT(ADDRESS(MATCH(Table2[[#This Row],[Type]],Table2[Titel],0),2)),5,0)</f>
        <v>0C20</v>
      </c>
      <c r="J97" s="1" t="b">
        <f t="shared" si="2"/>
        <v>0</v>
      </c>
      <c r="K97" s="1" t="str">
        <f ca="1">LEFT(Table2[[#This Row],[VarType:]],2)</f>
        <v>0C</v>
      </c>
      <c r="L97" s="1" t="b">
        <f ca="1">HEX2DEC(Table2[[#This Row],[VarType:]])&gt;=HEX2DEC(VT_Stuff!$C$37)</f>
        <v>0</v>
      </c>
    </row>
    <row r="98" spans="1:12" x14ac:dyDescent="0.55000000000000004">
      <c r="A98" s="3" t="s">
        <v>99</v>
      </c>
      <c r="B98" s="3"/>
      <c r="C98" s="1" t="str">
        <f>IF(MOD(ROW(),6 )= 2,Table2[[#This Row],[Titel]],C97)</f>
        <v>Double()</v>
      </c>
      <c r="D98" s="1">
        <f>VLOOKUP(Table2[[#This Row],[Type]],Table2[[Titel]:[Values]],2,FALSE)</f>
        <v>0</v>
      </c>
      <c r="E98" s="1" t="str">
        <f ca="1">OFFSET(INDIRECT(ADDRESS(MATCH(Table2[[#This Row],[Type]],Table2[Titel],0),2)),2,0)</f>
        <v>0560 0000 0000 0000 68EB 4F03 0000 0000</v>
      </c>
      <c r="F98" s="1" t="s">
        <v>141</v>
      </c>
      <c r="G98" s="1" t="str">
        <f ca="1">OFFSET(INDIRECT(ADDRESS(MATCH(Table2[[#This Row],[Type]],Table2[Titel],0),2)),3,0)</f>
        <v>00 00 00 00 00 00</v>
      </c>
      <c r="H98" s="1" t="str">
        <f ca="1">OFFSET(INDIRECT(ADDRESS(MATCH(Table2[[#This Row],[Type]],Table2[Titel],0),2)),4,0)</f>
        <v>00 00 00 00 03 4F EB 68</v>
      </c>
      <c r="I98" s="1" t="str">
        <f ca="1">OFFSET(INDIRECT(ADDRESS(MATCH(Table2[[#This Row],[Type]],Table2[Titel],0),2)),5,0)</f>
        <v>0560</v>
      </c>
      <c r="J98" s="1" t="b">
        <f t="shared" ref="J98:J108" si="3">MOD(ROW(),6) = 2</f>
        <v>1</v>
      </c>
      <c r="K98" s="1" t="str">
        <f ca="1">LEFT(Table2[[#This Row],[VarType:]],2)</f>
        <v>05</v>
      </c>
      <c r="L98" s="1"/>
    </row>
    <row r="99" spans="1:12" hidden="1" x14ac:dyDescent="0.55000000000000004">
      <c r="A99" s="3" t="s">
        <v>32</v>
      </c>
      <c r="B99" s="3" t="s">
        <v>100</v>
      </c>
      <c r="C99" s="1" t="str">
        <f>IF(MOD(ROW(),6 )= 2,Table2[[#This Row],[Titel]],C98)</f>
        <v>Double()</v>
      </c>
      <c r="D99" s="1">
        <f>VLOOKUP(Table2[[#This Row],[Type]],Table2[[Titel]:[Values]],2,FALSE)</f>
        <v>0</v>
      </c>
      <c r="E99" s="1" t="str">
        <f ca="1">OFFSET(INDIRECT(ADDRESS(MATCH(Table2[[#This Row],[Type]],Table2[Titel],0),2)),2,0)</f>
        <v>0560 0000 0000 0000 68EB 4F03 0000 0000</v>
      </c>
      <c r="F99" s="1" t="s">
        <v>131</v>
      </c>
      <c r="G99" s="1" t="str">
        <f ca="1">OFFSET(INDIRECT(ADDRESS(MATCH(Table2[[#This Row],[Type]],Table2[Titel],0),2)),3,0)</f>
        <v>00 00 00 00 00 00</v>
      </c>
      <c r="H99" s="1" t="str">
        <f ca="1">OFFSET(INDIRECT(ADDRESS(MATCH(Table2[[#This Row],[Type]],Table2[Titel],0),2)),4,0)</f>
        <v>00 00 00 00 03 4F EB 68</v>
      </c>
      <c r="I99" s="1" t="str">
        <f ca="1">OFFSET(INDIRECT(ADDRESS(MATCH(Table2[[#This Row],[Type]],Table2[Titel],0),2)),5,0)</f>
        <v>0560</v>
      </c>
      <c r="J99" s="1" t="b">
        <f t="shared" si="3"/>
        <v>0</v>
      </c>
      <c r="K99" s="1" t="str">
        <f ca="1">LEFT(Table2[[#This Row],[VarType:]],2)</f>
        <v>05</v>
      </c>
      <c r="L99" s="1" t="b">
        <f ca="1">HEX2DEC(Table2[[#This Row],[VarType:]])&gt;=HEX2DEC(VT_Stuff!$C$37)</f>
        <v>0</v>
      </c>
    </row>
    <row r="100" spans="1:12" hidden="1" x14ac:dyDescent="0.55000000000000004">
      <c r="A100" s="3" t="s">
        <v>34</v>
      </c>
      <c r="B100" s="3" t="s">
        <v>35</v>
      </c>
      <c r="C100" s="1" t="str">
        <f>IF(MOD(ROW(),6 )= 2,Table2[[#This Row],[Titel]],C99)</f>
        <v>Double()</v>
      </c>
      <c r="D100" s="1">
        <f>VLOOKUP(Table2[[#This Row],[Type]],Table2[[Titel]:[Values]],2,FALSE)</f>
        <v>0</v>
      </c>
      <c r="E100" s="1" t="str">
        <f ca="1">OFFSET(INDIRECT(ADDRESS(MATCH(Table2[[#This Row],[Type]],Table2[Titel],0),2)),2,0)</f>
        <v>0560 0000 0000 0000 68EB 4F03 0000 0000</v>
      </c>
      <c r="F100" s="1" t="s">
        <v>131</v>
      </c>
      <c r="G100" s="1" t="str">
        <f ca="1">OFFSET(INDIRECT(ADDRESS(MATCH(Table2[[#This Row],[Type]],Table2[Titel],0),2)),3,0)</f>
        <v>00 00 00 00 00 00</v>
      </c>
      <c r="H100" s="1" t="str">
        <f ca="1">OFFSET(INDIRECT(ADDRESS(MATCH(Table2[[#This Row],[Type]],Table2[Titel],0),2)),4,0)</f>
        <v>00 00 00 00 03 4F EB 68</v>
      </c>
      <c r="I100" s="1" t="str">
        <f ca="1">OFFSET(INDIRECT(ADDRESS(MATCH(Table2[[#This Row],[Type]],Table2[Titel],0),2)),5,0)</f>
        <v>0560</v>
      </c>
      <c r="J100" s="1" t="b">
        <f t="shared" si="3"/>
        <v>0</v>
      </c>
      <c r="K100" s="1" t="str">
        <f ca="1">LEFT(Table2[[#This Row],[VarType:]],2)</f>
        <v>05</v>
      </c>
      <c r="L100" s="1" t="b">
        <f ca="1">HEX2DEC(Table2[[#This Row],[VarType:]])&gt;=HEX2DEC(VT_Stuff!$C$37)</f>
        <v>0</v>
      </c>
    </row>
    <row r="101" spans="1:12" hidden="1" x14ac:dyDescent="0.55000000000000004">
      <c r="A101" s="3" t="s">
        <v>36</v>
      </c>
      <c r="B101" s="3" t="s">
        <v>101</v>
      </c>
      <c r="C101" s="1" t="str">
        <f>IF(MOD(ROW(),6 )= 2,Table2[[#This Row],[Titel]],C100)</f>
        <v>Double()</v>
      </c>
      <c r="D101" s="1">
        <f>VLOOKUP(Table2[[#This Row],[Type]],Table2[[Titel]:[Values]],2,FALSE)</f>
        <v>0</v>
      </c>
      <c r="E101" s="1" t="str">
        <f ca="1">OFFSET(INDIRECT(ADDRESS(MATCH(Table2[[#This Row],[Type]],Table2[Titel],0),2)),2,0)</f>
        <v>0560 0000 0000 0000 68EB 4F03 0000 0000</v>
      </c>
      <c r="F101" s="1" t="s">
        <v>131</v>
      </c>
      <c r="G101" s="1" t="str">
        <f ca="1">OFFSET(INDIRECT(ADDRESS(MATCH(Table2[[#This Row],[Type]],Table2[Titel],0),2)),3,0)</f>
        <v>00 00 00 00 00 00</v>
      </c>
      <c r="H101" s="1" t="str">
        <f ca="1">OFFSET(INDIRECT(ADDRESS(MATCH(Table2[[#This Row],[Type]],Table2[Titel],0),2)),4,0)</f>
        <v>00 00 00 00 03 4F EB 68</v>
      </c>
      <c r="I101" s="1" t="str">
        <f ca="1">OFFSET(INDIRECT(ADDRESS(MATCH(Table2[[#This Row],[Type]],Table2[Titel],0),2)),5,0)</f>
        <v>0560</v>
      </c>
      <c r="J101" s="1" t="b">
        <f t="shared" si="3"/>
        <v>0</v>
      </c>
      <c r="K101" s="1" t="str">
        <f ca="1">LEFT(Table2[[#This Row],[VarType:]],2)</f>
        <v>05</v>
      </c>
      <c r="L101" s="1" t="b">
        <f ca="1">HEX2DEC(Table2[[#This Row],[VarType:]])&gt;=HEX2DEC(VT_Stuff!$C$37)</f>
        <v>0</v>
      </c>
    </row>
    <row r="102" spans="1:12" hidden="1" x14ac:dyDescent="0.55000000000000004">
      <c r="A102" s="3" t="s">
        <v>38</v>
      </c>
      <c r="B102" s="3" t="s">
        <v>102</v>
      </c>
      <c r="C102" s="1" t="str">
        <f>IF(MOD(ROW(),6 )= 2,Table2[[#This Row],[Titel]],C101)</f>
        <v>Double()</v>
      </c>
      <c r="D102" s="1">
        <f>VLOOKUP(Table2[[#This Row],[Type]],Table2[[Titel]:[Values]],2,FALSE)</f>
        <v>0</v>
      </c>
      <c r="E102" s="1" t="str">
        <f ca="1">OFFSET(INDIRECT(ADDRESS(MATCH(Table2[[#This Row],[Type]],Table2[Titel],0),2)),2,0)</f>
        <v>0560 0000 0000 0000 68EB 4F03 0000 0000</v>
      </c>
      <c r="F102" s="1" t="s">
        <v>131</v>
      </c>
      <c r="G102" s="1" t="str">
        <f ca="1">OFFSET(INDIRECT(ADDRESS(MATCH(Table2[[#This Row],[Type]],Table2[Titel],0),2)),3,0)</f>
        <v>00 00 00 00 00 00</v>
      </c>
      <c r="H102" s="1" t="str">
        <f ca="1">OFFSET(INDIRECT(ADDRESS(MATCH(Table2[[#This Row],[Type]],Table2[Titel],0),2)),4,0)</f>
        <v>00 00 00 00 03 4F EB 68</v>
      </c>
      <c r="I102" s="1" t="str">
        <f ca="1">OFFSET(INDIRECT(ADDRESS(MATCH(Table2[[#This Row],[Type]],Table2[Titel],0),2)),5,0)</f>
        <v>0560</v>
      </c>
      <c r="J102" s="1" t="b">
        <f t="shared" si="3"/>
        <v>0</v>
      </c>
      <c r="K102" s="1" t="str">
        <f ca="1">LEFT(Table2[[#This Row],[VarType:]],2)</f>
        <v>05</v>
      </c>
      <c r="L102" s="1" t="b">
        <f ca="1">HEX2DEC(Table2[[#This Row],[VarType:]])&gt;=HEX2DEC(VT_Stuff!$C$37)</f>
        <v>0</v>
      </c>
    </row>
    <row r="103" spans="1:12" hidden="1" x14ac:dyDescent="0.55000000000000004">
      <c r="A103" s="3"/>
      <c r="B103" s="3"/>
      <c r="C103" s="1" t="str">
        <f>IF(MOD(ROW(),6 )= 2,Table2[[#This Row],[Titel]],C102)</f>
        <v>Double()</v>
      </c>
      <c r="D103" s="1">
        <f>VLOOKUP(Table2[[#This Row],[Type]],Table2[[Titel]:[Values]],2,FALSE)</f>
        <v>0</v>
      </c>
      <c r="E103" s="1" t="str">
        <f ca="1">OFFSET(INDIRECT(ADDRESS(MATCH(Table2[[#This Row],[Type]],Table2[Titel],0),2)),2,0)</f>
        <v>0560 0000 0000 0000 68EB 4F03 0000 0000</v>
      </c>
      <c r="F103" s="1" t="s">
        <v>131</v>
      </c>
      <c r="G103" s="1" t="str">
        <f ca="1">OFFSET(INDIRECT(ADDRESS(MATCH(Table2[[#This Row],[Type]],Table2[Titel],0),2)),3,0)</f>
        <v>00 00 00 00 00 00</v>
      </c>
      <c r="H103" s="1" t="str">
        <f ca="1">OFFSET(INDIRECT(ADDRESS(MATCH(Table2[[#This Row],[Type]],Table2[Titel],0),2)),4,0)</f>
        <v>00 00 00 00 03 4F EB 68</v>
      </c>
      <c r="I103" s="1" t="str">
        <f ca="1">OFFSET(INDIRECT(ADDRESS(MATCH(Table2[[#This Row],[Type]],Table2[Titel],0),2)),5,0)</f>
        <v>0560</v>
      </c>
      <c r="J103" s="1" t="b">
        <f t="shared" si="3"/>
        <v>0</v>
      </c>
      <c r="K103" s="1" t="str">
        <f ca="1">LEFT(Table2[[#This Row],[VarType:]],2)</f>
        <v>05</v>
      </c>
      <c r="L103" s="1" t="b">
        <f ca="1">HEX2DEC(Table2[[#This Row],[VarType:]])&gt;=HEX2DEC(VT_Stuff!$C$37)</f>
        <v>0</v>
      </c>
    </row>
    <row r="104" spans="1:12" x14ac:dyDescent="0.55000000000000004">
      <c r="A104" s="3" t="s">
        <v>103</v>
      </c>
      <c r="B104" s="3"/>
      <c r="C104" s="1" t="str">
        <f>IF(MOD(ROW(),6 )= 2,Table2[[#This Row],[Titel]],C103)</f>
        <v>Integer()</v>
      </c>
      <c r="D104" s="1">
        <f>VLOOKUP(Table2[[#This Row],[Type]],Table2[[Titel]:[Values]],2,FALSE)</f>
        <v>0</v>
      </c>
      <c r="E104" s="1" t="str">
        <f ca="1">OFFSET(INDIRECT(ADDRESS(MATCH(Table2[[#This Row],[Type]],Table2[Titel],0),2)),2,0)</f>
        <v>0260 0000 0000 0000 6CEB 4F03 0000 0000</v>
      </c>
      <c r="F104" s="1" t="s">
        <v>142</v>
      </c>
      <c r="G104" s="1" t="str">
        <f ca="1">OFFSET(INDIRECT(ADDRESS(MATCH(Table2[[#This Row],[Type]],Table2[Titel],0),2)),3,0)</f>
        <v>00 00 00 00 00 00</v>
      </c>
      <c r="H104" s="1" t="str">
        <f ca="1">OFFSET(INDIRECT(ADDRESS(MATCH(Table2[[#This Row],[Type]],Table2[Titel],0),2)),4,0)</f>
        <v>00 00 00 00 03 4F EB 6C</v>
      </c>
      <c r="I104" s="1" t="str">
        <f ca="1">OFFSET(INDIRECT(ADDRESS(MATCH(Table2[[#This Row],[Type]],Table2[Titel],0),2)),5,0)</f>
        <v>0260</v>
      </c>
      <c r="J104" s="1" t="b">
        <f t="shared" si="3"/>
        <v>1</v>
      </c>
      <c r="K104" s="1" t="str">
        <f ca="1">LEFT(Table2[[#This Row],[VarType:]],2)</f>
        <v>02</v>
      </c>
      <c r="L104" s="1"/>
    </row>
    <row r="105" spans="1:12" hidden="1" x14ac:dyDescent="0.55000000000000004">
      <c r="A105" s="3" t="s">
        <v>32</v>
      </c>
      <c r="B105" s="3" t="s">
        <v>104</v>
      </c>
      <c r="C105" s="1" t="str">
        <f>IF(MOD(ROW(),6 )= 2,Table2[[#This Row],[Titel]],C104)</f>
        <v>Integer()</v>
      </c>
      <c r="D105" s="1">
        <f>VLOOKUP(Table2[[#This Row],[Type]],Table2[[Titel]:[Values]],2,FALSE)</f>
        <v>0</v>
      </c>
      <c r="E105" s="1" t="str">
        <f ca="1">OFFSET(INDIRECT(ADDRESS(MATCH(Table2[[#This Row],[Type]],Table2[Titel],0),2)),2,0)</f>
        <v>0260 0000 0000 0000 6CEB 4F03 0000 0000</v>
      </c>
      <c r="F105" s="1" t="s">
        <v>131</v>
      </c>
      <c r="G105" s="1" t="str">
        <f ca="1">OFFSET(INDIRECT(ADDRESS(MATCH(Table2[[#This Row],[Type]],Table2[Titel],0),2)),3,0)</f>
        <v>00 00 00 00 00 00</v>
      </c>
      <c r="H105" s="1" t="str">
        <f ca="1">OFFSET(INDIRECT(ADDRESS(MATCH(Table2[[#This Row],[Type]],Table2[Titel],0),2)),4,0)</f>
        <v>00 00 00 00 03 4F EB 6C</v>
      </c>
      <c r="I105" s="1" t="str">
        <f ca="1">OFFSET(INDIRECT(ADDRESS(MATCH(Table2[[#This Row],[Type]],Table2[Titel],0),2)),5,0)</f>
        <v>0260</v>
      </c>
      <c r="J105" s="1" t="b">
        <f t="shared" si="3"/>
        <v>0</v>
      </c>
      <c r="K105" s="1" t="str">
        <f ca="1">LEFT(Table2[[#This Row],[VarType:]],2)</f>
        <v>02</v>
      </c>
      <c r="L105" s="1" t="b">
        <f ca="1">HEX2DEC(Table2[[#This Row],[VarType:]])&gt;=HEX2DEC(VT_Stuff!$C$37)</f>
        <v>0</v>
      </c>
    </row>
    <row r="106" spans="1:12" hidden="1" x14ac:dyDescent="0.55000000000000004">
      <c r="A106" s="3" t="s">
        <v>34</v>
      </c>
      <c r="B106" s="3" t="s">
        <v>35</v>
      </c>
      <c r="C106" s="1" t="str">
        <f>IF(MOD(ROW(),6 )= 2,Table2[[#This Row],[Titel]],C105)</f>
        <v>Integer()</v>
      </c>
      <c r="D106" s="1">
        <f>VLOOKUP(Table2[[#This Row],[Type]],Table2[[Titel]:[Values]],2,FALSE)</f>
        <v>0</v>
      </c>
      <c r="E106" s="1" t="str">
        <f ca="1">OFFSET(INDIRECT(ADDRESS(MATCH(Table2[[#This Row],[Type]],Table2[Titel],0),2)),2,0)</f>
        <v>0260 0000 0000 0000 6CEB 4F03 0000 0000</v>
      </c>
      <c r="F106" s="1" t="s">
        <v>131</v>
      </c>
      <c r="G106" s="1" t="str">
        <f ca="1">OFFSET(INDIRECT(ADDRESS(MATCH(Table2[[#This Row],[Type]],Table2[Titel],0),2)),3,0)</f>
        <v>00 00 00 00 00 00</v>
      </c>
      <c r="H106" s="1" t="str">
        <f ca="1">OFFSET(INDIRECT(ADDRESS(MATCH(Table2[[#This Row],[Type]],Table2[Titel],0),2)),4,0)</f>
        <v>00 00 00 00 03 4F EB 6C</v>
      </c>
      <c r="I106" s="1" t="str">
        <f ca="1">OFFSET(INDIRECT(ADDRESS(MATCH(Table2[[#This Row],[Type]],Table2[Titel],0),2)),5,0)</f>
        <v>0260</v>
      </c>
      <c r="J106" s="1" t="b">
        <f t="shared" si="3"/>
        <v>0</v>
      </c>
      <c r="K106" s="1" t="str">
        <f ca="1">LEFT(Table2[[#This Row],[VarType:]],2)</f>
        <v>02</v>
      </c>
      <c r="L106" s="1" t="b">
        <f ca="1">HEX2DEC(Table2[[#This Row],[VarType:]])&gt;=HEX2DEC(VT_Stuff!$C$37)</f>
        <v>0</v>
      </c>
    </row>
    <row r="107" spans="1:12" hidden="1" x14ac:dyDescent="0.55000000000000004">
      <c r="A107" s="3" t="s">
        <v>36</v>
      </c>
      <c r="B107" s="3" t="s">
        <v>105</v>
      </c>
      <c r="C107" s="1" t="str">
        <f>IF(MOD(ROW(),6 )= 2,Table2[[#This Row],[Titel]],C106)</f>
        <v>Integer()</v>
      </c>
      <c r="D107" s="1">
        <f>VLOOKUP(Table2[[#This Row],[Type]],Table2[[Titel]:[Values]],2,FALSE)</f>
        <v>0</v>
      </c>
      <c r="E107" s="1" t="str">
        <f ca="1">OFFSET(INDIRECT(ADDRESS(MATCH(Table2[[#This Row],[Type]],Table2[Titel],0),2)),2,0)</f>
        <v>0260 0000 0000 0000 6CEB 4F03 0000 0000</v>
      </c>
      <c r="F107" s="1" t="s">
        <v>131</v>
      </c>
      <c r="G107" s="1" t="str">
        <f ca="1">OFFSET(INDIRECT(ADDRESS(MATCH(Table2[[#This Row],[Type]],Table2[Titel],0),2)),3,0)</f>
        <v>00 00 00 00 00 00</v>
      </c>
      <c r="H107" s="1" t="str">
        <f ca="1">OFFSET(INDIRECT(ADDRESS(MATCH(Table2[[#This Row],[Type]],Table2[Titel],0),2)),4,0)</f>
        <v>00 00 00 00 03 4F EB 6C</v>
      </c>
      <c r="I107" s="1" t="str">
        <f ca="1">OFFSET(INDIRECT(ADDRESS(MATCH(Table2[[#This Row],[Type]],Table2[Titel],0),2)),5,0)</f>
        <v>0260</v>
      </c>
      <c r="J107" s="1" t="b">
        <f t="shared" si="3"/>
        <v>0</v>
      </c>
      <c r="K107" s="1" t="str">
        <f ca="1">LEFT(Table2[[#This Row],[VarType:]],2)</f>
        <v>02</v>
      </c>
      <c r="L107" s="1" t="b">
        <f ca="1">HEX2DEC(Table2[[#This Row],[VarType:]])&gt;=HEX2DEC(VT_Stuff!$C$37)</f>
        <v>0</v>
      </c>
    </row>
    <row r="108" spans="1:12" hidden="1" x14ac:dyDescent="0.55000000000000004">
      <c r="A108" s="3" t="s">
        <v>38</v>
      </c>
      <c r="B108" s="3" t="s">
        <v>106</v>
      </c>
      <c r="C108" s="1" t="str">
        <f>IF(MOD(ROW(),6 )= 2,Table2[[#This Row],[Titel]],C107)</f>
        <v>Integer()</v>
      </c>
      <c r="D108" s="1">
        <f>VLOOKUP(Table2[[#This Row],[Type]],Table2[[Titel]:[Values]],2,FALSE)</f>
        <v>0</v>
      </c>
      <c r="E108" s="1" t="str">
        <f ca="1">OFFSET(INDIRECT(ADDRESS(MATCH(Table2[[#This Row],[Type]],Table2[Titel],0),2)),2,0)</f>
        <v>0260 0000 0000 0000 6CEB 4F03 0000 0000</v>
      </c>
      <c r="F108" s="1" t="s">
        <v>131</v>
      </c>
      <c r="G108" s="1" t="str">
        <f ca="1">OFFSET(INDIRECT(ADDRESS(MATCH(Table2[[#This Row],[Type]],Table2[Titel],0),2)),3,0)</f>
        <v>00 00 00 00 00 00</v>
      </c>
      <c r="H108" s="1" t="str">
        <f ca="1">OFFSET(INDIRECT(ADDRESS(MATCH(Table2[[#This Row],[Type]],Table2[Titel],0),2)),4,0)</f>
        <v>00 00 00 00 03 4F EB 6C</v>
      </c>
      <c r="I108" s="1" t="str">
        <f ca="1">OFFSET(INDIRECT(ADDRESS(MATCH(Table2[[#This Row],[Type]],Table2[Titel],0),2)),5,0)</f>
        <v>0260</v>
      </c>
      <c r="J108" s="1" t="b">
        <f t="shared" si="3"/>
        <v>0</v>
      </c>
      <c r="K108" s="1" t="str">
        <f ca="1">LEFT(Table2[[#This Row],[VarType:]],2)</f>
        <v>02</v>
      </c>
      <c r="L108" s="1" t="b">
        <f ca="1">HEX2DEC(Table2[[#This Row],[VarType:]])&gt;=HEX2DEC(VT_Stuff!$C$37)</f>
        <v>0</v>
      </c>
    </row>
    <row r="109" spans="1:12" hidden="1" x14ac:dyDescent="0.55000000000000004">
      <c r="A109" s="3"/>
      <c r="B109" s="3"/>
      <c r="C109" s="1" t="str">
        <f>IF(MOD(ROW(),6 )= 2,Table2[[#This Row],[Titel]],C108)</f>
        <v>Integer()</v>
      </c>
      <c r="D109" s="1">
        <f>VLOOKUP(Table2[[#This Row],[Type]],Table2[[Titel]:[Values]],2,FALSE)</f>
        <v>0</v>
      </c>
      <c r="E109" s="1" t="str">
        <f ca="1">OFFSET(INDIRECT(ADDRESS(MATCH(Table2[[#This Row],[Type]],Table2[Titel],0),2)),2,0)</f>
        <v>0260 0000 0000 0000 6CEB 4F03 0000 0000</v>
      </c>
      <c r="F109" s="1" t="s">
        <v>131</v>
      </c>
      <c r="G109" s="1" t="str">
        <f ca="1">OFFSET(INDIRECT(ADDRESS(MATCH(Table2[[#This Row],[Type]],Table2[Titel],0),2)),3,0)</f>
        <v>00 00 00 00 00 00</v>
      </c>
      <c r="H109" s="1" t="str">
        <f ca="1">OFFSET(INDIRECT(ADDRESS(MATCH(Table2[[#This Row],[Type]],Table2[Titel],0),2)),4,0)</f>
        <v>00 00 00 00 03 4F EB 6C</v>
      </c>
      <c r="I109" s="1" t="str">
        <f ca="1">OFFSET(INDIRECT(ADDRESS(MATCH(Table2[[#This Row],[Type]],Table2[Titel],0),2)),5,0)</f>
        <v>0260</v>
      </c>
      <c r="J109" s="1" t="b">
        <f t="shared" ref="J109:J144" si="4">MOD(ROW(),6) = 2</f>
        <v>0</v>
      </c>
      <c r="K109" s="1" t="str">
        <f ca="1">LEFT(Table2[[#This Row],[VarType:]],2)</f>
        <v>02</v>
      </c>
      <c r="L109" s="1" t="b">
        <f ca="1">HEX2DEC(Table2[[#This Row],[VarType:]])&gt;=HEX2DEC(VT_Stuff!$C$37)</f>
        <v>0</v>
      </c>
    </row>
    <row r="110" spans="1:12" x14ac:dyDescent="0.55000000000000004">
      <c r="A110" s="3" t="s">
        <v>128</v>
      </c>
      <c r="B110" s="3" t="s">
        <v>67</v>
      </c>
      <c r="C110" s="1" t="str">
        <f>IF(MOD(ROW(),6 )= 2,Table2[[#This Row],[Titel]],C109)</f>
        <v>Boolean2</v>
      </c>
      <c r="D110" s="1" t="str">
        <f>VLOOKUP(Table2[[#This Row],[Type]],Table2[[Titel]:[Values]],2,FALSE)</f>
        <v>True</v>
      </c>
      <c r="E110" s="1" t="str">
        <f ca="1">OFFSET(INDIRECT(ADDRESS(MATCH(Table2[[#This Row],[Type]],Table2[Titel],0),2)),2,0)</f>
        <v>0B00 0000 0000 0000 FFFF 0000 0000 0000</v>
      </c>
      <c r="F110" s="1" t="s">
        <v>33</v>
      </c>
      <c r="G110" s="1" t="str">
        <f ca="1">OFFSET(INDIRECT(ADDRESS(MATCH(Table2[[#This Row],[Type]],Table2[Titel],0),2)),3,0)</f>
        <v>00 00 00 00 00 00</v>
      </c>
      <c r="H110" s="1" t="str">
        <f ca="1">OFFSET(INDIRECT(ADDRESS(MATCH(Table2[[#This Row],[Type]],Table2[Titel],0),2)),4,0)</f>
        <v>00 00 00 00 00 00 FF FF</v>
      </c>
      <c r="I110" s="1" t="str">
        <f ca="1">OFFSET(INDIRECT(ADDRESS(MATCH(Table2[[#This Row],[Type]],Table2[Titel],0),2)),5,0)</f>
        <v>0B00</v>
      </c>
      <c r="J110" s="1" t="b">
        <f t="shared" si="4"/>
        <v>1</v>
      </c>
      <c r="K110" s="1" t="str">
        <f ca="1">LEFT(Table2[[#This Row],[VarType:]],2)</f>
        <v>0B</v>
      </c>
      <c r="L110" s="1"/>
    </row>
    <row r="111" spans="1:12" hidden="1" x14ac:dyDescent="0.55000000000000004">
      <c r="A111" s="3" t="s">
        <v>32</v>
      </c>
      <c r="B111" s="3" t="s">
        <v>33</v>
      </c>
      <c r="C111" s="1" t="str">
        <f>IF(MOD(ROW(),6 )= 2,Table2[[#This Row],[Titel]],C110)</f>
        <v>Boolean2</v>
      </c>
      <c r="D111" s="1" t="str">
        <f>VLOOKUP(Table2[[#This Row],[Type]],Table2[[Titel]:[Values]],2,FALSE)</f>
        <v>True</v>
      </c>
      <c r="E111" s="1" t="str">
        <f ca="1">OFFSET(INDIRECT(ADDRESS(MATCH(Table2[[#This Row],[Type]],Table2[Titel],0),2)),2,0)</f>
        <v>0B00 0000 0000 0000 FFFF 0000 0000 0000</v>
      </c>
      <c r="F111" s="1" t="s">
        <v>131</v>
      </c>
      <c r="G111" s="1" t="str">
        <f ca="1">OFFSET(INDIRECT(ADDRESS(MATCH(Table2[[#This Row],[Type]],Table2[Titel],0),2)),3,0)</f>
        <v>00 00 00 00 00 00</v>
      </c>
      <c r="H111" s="1" t="str">
        <f ca="1">OFFSET(INDIRECT(ADDRESS(MATCH(Table2[[#This Row],[Type]],Table2[Titel],0),2)),4,0)</f>
        <v>00 00 00 00 00 00 FF FF</v>
      </c>
      <c r="I111" s="1" t="str">
        <f ca="1">OFFSET(INDIRECT(ADDRESS(MATCH(Table2[[#This Row],[Type]],Table2[Titel],0),2)),5,0)</f>
        <v>0B00</v>
      </c>
      <c r="J111" s="1" t="b">
        <f t="shared" si="4"/>
        <v>0</v>
      </c>
      <c r="K111" s="1" t="str">
        <f ca="1">LEFT(Table2[[#This Row],[VarType:]],2)</f>
        <v>0B</v>
      </c>
      <c r="L111" s="1" t="b">
        <f ca="1">HEX2DEC(Table2[[#This Row],[VarType:]])&gt;=HEX2DEC(VT_Stuff!$C$37)</f>
        <v>0</v>
      </c>
    </row>
    <row r="112" spans="1:12" hidden="1" x14ac:dyDescent="0.55000000000000004">
      <c r="A112" s="3" t="s">
        <v>34</v>
      </c>
      <c r="B112" s="3" t="s">
        <v>35</v>
      </c>
      <c r="C112" s="1" t="str">
        <f>IF(MOD(ROW(),6 )= 2,Table2[[#This Row],[Titel]],C111)</f>
        <v>Boolean2</v>
      </c>
      <c r="D112" s="1" t="str">
        <f>VLOOKUP(Table2[[#This Row],[Type]],Table2[[Titel]:[Values]],2,FALSE)</f>
        <v>True</v>
      </c>
      <c r="E112" s="1" t="str">
        <f ca="1">OFFSET(INDIRECT(ADDRESS(MATCH(Table2[[#This Row],[Type]],Table2[Titel],0),2)),2,0)</f>
        <v>0B00 0000 0000 0000 FFFF 0000 0000 0000</v>
      </c>
      <c r="F112" s="1" t="s">
        <v>131</v>
      </c>
      <c r="G112" s="1" t="str">
        <f ca="1">OFFSET(INDIRECT(ADDRESS(MATCH(Table2[[#This Row],[Type]],Table2[Titel],0),2)),3,0)</f>
        <v>00 00 00 00 00 00</v>
      </c>
      <c r="H112" s="1" t="str">
        <f ca="1">OFFSET(INDIRECT(ADDRESS(MATCH(Table2[[#This Row],[Type]],Table2[Titel],0),2)),4,0)</f>
        <v>00 00 00 00 00 00 FF FF</v>
      </c>
      <c r="I112" s="1" t="str">
        <f ca="1">OFFSET(INDIRECT(ADDRESS(MATCH(Table2[[#This Row],[Type]],Table2[Titel],0),2)),5,0)</f>
        <v>0B00</v>
      </c>
      <c r="J112" s="1" t="b">
        <f t="shared" si="4"/>
        <v>0</v>
      </c>
      <c r="K112" s="1" t="str">
        <f ca="1">LEFT(Table2[[#This Row],[VarType:]],2)</f>
        <v>0B</v>
      </c>
      <c r="L112" s="1" t="b">
        <f ca="1">HEX2DEC(Table2[[#This Row],[VarType:]])&gt;=HEX2DEC(VT_Stuff!$C$37)</f>
        <v>0</v>
      </c>
    </row>
    <row r="113" spans="1:12" hidden="1" x14ac:dyDescent="0.55000000000000004">
      <c r="A113" s="3" t="s">
        <v>36</v>
      </c>
      <c r="B113" s="3" t="s">
        <v>37</v>
      </c>
      <c r="C113" s="1" t="str">
        <f>IF(MOD(ROW(),6 )= 2,Table2[[#This Row],[Titel]],C112)</f>
        <v>Boolean2</v>
      </c>
      <c r="D113" s="1" t="str">
        <f>VLOOKUP(Table2[[#This Row],[Type]],Table2[[Titel]:[Values]],2,FALSE)</f>
        <v>True</v>
      </c>
      <c r="E113" s="1" t="str">
        <f ca="1">OFFSET(INDIRECT(ADDRESS(MATCH(Table2[[#This Row],[Type]],Table2[Titel],0),2)),2,0)</f>
        <v>0B00 0000 0000 0000 FFFF 0000 0000 0000</v>
      </c>
      <c r="F113" s="1" t="s">
        <v>131</v>
      </c>
      <c r="G113" s="1" t="str">
        <f ca="1">OFFSET(INDIRECT(ADDRESS(MATCH(Table2[[#This Row],[Type]],Table2[Titel],0),2)),3,0)</f>
        <v>00 00 00 00 00 00</v>
      </c>
      <c r="H113" s="1" t="str">
        <f ca="1">OFFSET(INDIRECT(ADDRESS(MATCH(Table2[[#This Row],[Type]],Table2[Titel],0),2)),4,0)</f>
        <v>00 00 00 00 00 00 FF FF</v>
      </c>
      <c r="I113" s="1" t="str">
        <f ca="1">OFFSET(INDIRECT(ADDRESS(MATCH(Table2[[#This Row],[Type]],Table2[Titel],0),2)),5,0)</f>
        <v>0B00</v>
      </c>
      <c r="J113" s="1" t="b">
        <f t="shared" si="4"/>
        <v>0</v>
      </c>
      <c r="K113" s="1" t="str">
        <f ca="1">LEFT(Table2[[#This Row],[VarType:]],2)</f>
        <v>0B</v>
      </c>
      <c r="L113" s="1" t="b">
        <f ca="1">HEX2DEC(Table2[[#This Row],[VarType:]])&gt;=HEX2DEC(VT_Stuff!$C$37)</f>
        <v>0</v>
      </c>
    </row>
    <row r="114" spans="1:12" hidden="1" x14ac:dyDescent="0.55000000000000004">
      <c r="A114" s="3" t="s">
        <v>38</v>
      </c>
      <c r="B114" s="3" t="s">
        <v>39</v>
      </c>
      <c r="C114" s="1" t="str">
        <f>IF(MOD(ROW(),6 )= 2,Table2[[#This Row],[Titel]],C113)</f>
        <v>Boolean2</v>
      </c>
      <c r="D114" s="1" t="str">
        <f>VLOOKUP(Table2[[#This Row],[Type]],Table2[[Titel]:[Values]],2,FALSE)</f>
        <v>True</v>
      </c>
      <c r="E114" s="1" t="str">
        <f ca="1">OFFSET(INDIRECT(ADDRESS(MATCH(Table2[[#This Row],[Type]],Table2[Titel],0),2)),2,0)</f>
        <v>0B00 0000 0000 0000 FFFF 0000 0000 0000</v>
      </c>
      <c r="F114" s="1" t="s">
        <v>131</v>
      </c>
      <c r="G114" s="1" t="str">
        <f ca="1">OFFSET(INDIRECT(ADDRESS(MATCH(Table2[[#This Row],[Type]],Table2[Titel],0),2)),3,0)</f>
        <v>00 00 00 00 00 00</v>
      </c>
      <c r="H114" s="1" t="str">
        <f ca="1">OFFSET(INDIRECT(ADDRESS(MATCH(Table2[[#This Row],[Type]],Table2[Titel],0),2)),4,0)</f>
        <v>00 00 00 00 00 00 FF FF</v>
      </c>
      <c r="I114" s="1" t="str">
        <f ca="1">OFFSET(INDIRECT(ADDRESS(MATCH(Table2[[#This Row],[Type]],Table2[Titel],0),2)),5,0)</f>
        <v>0B00</v>
      </c>
      <c r="J114" s="1" t="b">
        <f t="shared" si="4"/>
        <v>0</v>
      </c>
      <c r="K114" s="1" t="str">
        <f ca="1">LEFT(Table2[[#This Row],[VarType:]],2)</f>
        <v>0B</v>
      </c>
      <c r="L114" s="1" t="b">
        <f ca="1">HEX2DEC(Table2[[#This Row],[VarType:]])&gt;=HEX2DEC(VT_Stuff!$C$37)</f>
        <v>0</v>
      </c>
    </row>
    <row r="115" spans="1:12" hidden="1" x14ac:dyDescent="0.55000000000000004">
      <c r="A115" s="3"/>
      <c r="B115" s="3"/>
      <c r="C115" s="1" t="str">
        <f>IF(MOD(ROW(),6 )= 2,Table2[[#This Row],[Titel]],C114)</f>
        <v>Boolean2</v>
      </c>
      <c r="D115" s="1" t="str">
        <f>VLOOKUP(Table2[[#This Row],[Type]],Table2[[Titel]:[Values]],2,FALSE)</f>
        <v>True</v>
      </c>
      <c r="E115" s="1" t="str">
        <f ca="1">OFFSET(INDIRECT(ADDRESS(MATCH(Table2[[#This Row],[Type]],Table2[Titel],0),2)),2,0)</f>
        <v>0B00 0000 0000 0000 FFFF 0000 0000 0000</v>
      </c>
      <c r="F115" s="1" t="s">
        <v>131</v>
      </c>
      <c r="G115" s="1" t="str">
        <f ca="1">OFFSET(INDIRECT(ADDRESS(MATCH(Table2[[#This Row],[Type]],Table2[Titel],0),2)),3,0)</f>
        <v>00 00 00 00 00 00</v>
      </c>
      <c r="H115" s="1" t="str">
        <f ca="1">OFFSET(INDIRECT(ADDRESS(MATCH(Table2[[#This Row],[Type]],Table2[Titel],0),2)),4,0)</f>
        <v>00 00 00 00 00 00 FF FF</v>
      </c>
      <c r="I115" s="1" t="str">
        <f ca="1">OFFSET(INDIRECT(ADDRESS(MATCH(Table2[[#This Row],[Type]],Table2[Titel],0),2)),5,0)</f>
        <v>0B00</v>
      </c>
      <c r="J115" s="1" t="b">
        <f t="shared" si="4"/>
        <v>0</v>
      </c>
      <c r="K115" s="1" t="str">
        <f ca="1">LEFT(Table2[[#This Row],[VarType:]],2)</f>
        <v>0B</v>
      </c>
      <c r="L115" s="1" t="b">
        <f ca="1">HEX2DEC(Table2[[#This Row],[VarType:]])&gt;=HEX2DEC(VT_Stuff!$C$37)</f>
        <v>0</v>
      </c>
    </row>
    <row r="116" spans="1:12" x14ac:dyDescent="0.55000000000000004">
      <c r="A116" s="3" t="s">
        <v>129</v>
      </c>
      <c r="B116" s="3" t="s">
        <v>108</v>
      </c>
      <c r="C116" s="1" t="str">
        <f>IF(MOD(ROW(),6 )= 2,Table2[[#This Row],[Titel]],C115)</f>
        <v>Decimal2</v>
      </c>
      <c r="D116" s="1" t="str">
        <f>VLOOKUP(Table2[[#This Row],[Type]],Table2[[Titel]:[Values]],2,FALSE)</f>
        <v>110505332448475000000000</v>
      </c>
      <c r="E116" s="1" t="str">
        <f ca="1">OFFSET(INDIRECT(ADDRESS(MATCH(Table2[[#This Row],[Type]],Table2[Titel],0),2)),2,0)</f>
        <v>0E00 0000 6617 0000 00CE 8247 8B2B 8E81</v>
      </c>
      <c r="F116" s="1" t="s">
        <v>109</v>
      </c>
      <c r="G116" s="1" t="str">
        <f ca="1">OFFSET(INDIRECT(ADDRESS(MATCH(Table2[[#This Row],[Type]],Table2[Titel],0),2)),3,0)</f>
        <v>00 00 17 66 00 00</v>
      </c>
      <c r="H116" s="1" t="str">
        <f ca="1">OFFSET(INDIRECT(ADDRESS(MATCH(Table2[[#This Row],[Type]],Table2[Titel],0),2)),4,0)</f>
        <v>81 8E 2B 8B 47 82 CE 00</v>
      </c>
      <c r="I116" s="1" t="str">
        <f ca="1">OFFSET(INDIRECT(ADDRESS(MATCH(Table2[[#This Row],[Type]],Table2[Titel],0),2)),5,0)</f>
        <v>0E00</v>
      </c>
      <c r="J116" s="1" t="b">
        <f t="shared" si="4"/>
        <v>1</v>
      </c>
      <c r="K116" s="1" t="str">
        <f ca="1">LEFT(Table2[[#This Row],[VarType:]],2)</f>
        <v>0E</v>
      </c>
      <c r="L116" s="1"/>
    </row>
    <row r="117" spans="1:12" hidden="1" x14ac:dyDescent="0.55000000000000004">
      <c r="A117" s="3" t="s">
        <v>32</v>
      </c>
      <c r="B117" s="3" t="s">
        <v>109</v>
      </c>
      <c r="C117" s="1" t="str">
        <f>IF(MOD(ROW(),6 )= 2,Table2[[#This Row],[Titel]],C116)</f>
        <v>Decimal2</v>
      </c>
      <c r="D117" s="1" t="str">
        <f>VLOOKUP(Table2[[#This Row],[Type]],Table2[[Titel]:[Values]],2,FALSE)</f>
        <v>110505332448475000000000</v>
      </c>
      <c r="E117" s="1" t="str">
        <f ca="1">OFFSET(INDIRECT(ADDRESS(MATCH(Table2[[#This Row],[Type]],Table2[Titel],0),2)),2,0)</f>
        <v>0E00 0000 6617 0000 00CE 8247 8B2B 8E81</v>
      </c>
      <c r="F117" s="1" t="s">
        <v>131</v>
      </c>
      <c r="G117" s="1" t="str">
        <f ca="1">OFFSET(INDIRECT(ADDRESS(MATCH(Table2[[#This Row],[Type]],Table2[Titel],0),2)),3,0)</f>
        <v>00 00 17 66 00 00</v>
      </c>
      <c r="H117" s="1" t="str">
        <f ca="1">OFFSET(INDIRECT(ADDRESS(MATCH(Table2[[#This Row],[Type]],Table2[Titel],0),2)),4,0)</f>
        <v>81 8E 2B 8B 47 82 CE 00</v>
      </c>
      <c r="I117" s="1" t="str">
        <f ca="1">OFFSET(INDIRECT(ADDRESS(MATCH(Table2[[#This Row],[Type]],Table2[Titel],0),2)),5,0)</f>
        <v>0E00</v>
      </c>
      <c r="J117" s="1" t="b">
        <f t="shared" si="4"/>
        <v>0</v>
      </c>
      <c r="K117" s="1" t="str">
        <f ca="1">LEFT(Table2[[#This Row],[VarType:]],2)</f>
        <v>0E</v>
      </c>
      <c r="L117" s="1" t="b">
        <f ca="1">HEX2DEC(Table2[[#This Row],[VarType:]])&gt;=HEX2DEC(VT_Stuff!$C$37)</f>
        <v>0</v>
      </c>
    </row>
    <row r="118" spans="1:12" hidden="1" x14ac:dyDescent="0.55000000000000004">
      <c r="A118" s="3" t="s">
        <v>34</v>
      </c>
      <c r="B118" s="3" t="s">
        <v>110</v>
      </c>
      <c r="C118" s="1" t="str">
        <f>IF(MOD(ROW(),6 )= 2,Table2[[#This Row],[Titel]],C117)</f>
        <v>Decimal2</v>
      </c>
      <c r="D118" s="1" t="str">
        <f>VLOOKUP(Table2[[#This Row],[Type]],Table2[[Titel]:[Values]],2,FALSE)</f>
        <v>110505332448475000000000</v>
      </c>
      <c r="E118" s="1" t="str">
        <f ca="1">OFFSET(INDIRECT(ADDRESS(MATCH(Table2[[#This Row],[Type]],Table2[Titel],0),2)),2,0)</f>
        <v>0E00 0000 6617 0000 00CE 8247 8B2B 8E81</v>
      </c>
      <c r="F118" s="1" t="s">
        <v>131</v>
      </c>
      <c r="G118" s="1" t="str">
        <f ca="1">OFFSET(INDIRECT(ADDRESS(MATCH(Table2[[#This Row],[Type]],Table2[Titel],0),2)),3,0)</f>
        <v>00 00 17 66 00 00</v>
      </c>
      <c r="H118" s="1" t="str">
        <f ca="1">OFFSET(INDIRECT(ADDRESS(MATCH(Table2[[#This Row],[Type]],Table2[Titel],0),2)),4,0)</f>
        <v>81 8E 2B 8B 47 82 CE 00</v>
      </c>
      <c r="I118" s="1" t="str">
        <f ca="1">OFFSET(INDIRECT(ADDRESS(MATCH(Table2[[#This Row],[Type]],Table2[Titel],0),2)),5,0)</f>
        <v>0E00</v>
      </c>
      <c r="J118" s="1" t="b">
        <f t="shared" si="4"/>
        <v>0</v>
      </c>
      <c r="K118" s="1" t="str">
        <f ca="1">LEFT(Table2[[#This Row],[VarType:]],2)</f>
        <v>0E</v>
      </c>
      <c r="L118" s="1" t="b">
        <f ca="1">HEX2DEC(Table2[[#This Row],[VarType:]])&gt;=HEX2DEC(VT_Stuff!$C$37)</f>
        <v>0</v>
      </c>
    </row>
    <row r="119" spans="1:12" hidden="1" x14ac:dyDescent="0.55000000000000004">
      <c r="A119" s="3" t="s">
        <v>36</v>
      </c>
      <c r="B119" s="3" t="s">
        <v>111</v>
      </c>
      <c r="C119" s="1" t="str">
        <f>IF(MOD(ROW(),6 )= 2,Table2[[#This Row],[Titel]],C118)</f>
        <v>Decimal2</v>
      </c>
      <c r="D119" s="1" t="str">
        <f>VLOOKUP(Table2[[#This Row],[Type]],Table2[[Titel]:[Values]],2,FALSE)</f>
        <v>110505332448475000000000</v>
      </c>
      <c r="E119" s="1" t="str">
        <f ca="1">OFFSET(INDIRECT(ADDRESS(MATCH(Table2[[#This Row],[Type]],Table2[Titel],0),2)),2,0)</f>
        <v>0E00 0000 6617 0000 00CE 8247 8B2B 8E81</v>
      </c>
      <c r="F119" s="1" t="s">
        <v>131</v>
      </c>
      <c r="G119" s="1" t="str">
        <f ca="1">OFFSET(INDIRECT(ADDRESS(MATCH(Table2[[#This Row],[Type]],Table2[Titel],0),2)),3,0)</f>
        <v>00 00 17 66 00 00</v>
      </c>
      <c r="H119" s="1" t="str">
        <f ca="1">OFFSET(INDIRECT(ADDRESS(MATCH(Table2[[#This Row],[Type]],Table2[Titel],0),2)),4,0)</f>
        <v>81 8E 2B 8B 47 82 CE 00</v>
      </c>
      <c r="I119" s="1" t="str">
        <f ca="1">OFFSET(INDIRECT(ADDRESS(MATCH(Table2[[#This Row],[Type]],Table2[Titel],0),2)),5,0)</f>
        <v>0E00</v>
      </c>
      <c r="J119" s="1" t="b">
        <f t="shared" si="4"/>
        <v>0</v>
      </c>
      <c r="K119" s="1" t="str">
        <f ca="1">LEFT(Table2[[#This Row],[VarType:]],2)</f>
        <v>0E</v>
      </c>
      <c r="L119" s="1" t="b">
        <f ca="1">HEX2DEC(Table2[[#This Row],[VarType:]])&gt;=HEX2DEC(VT_Stuff!$C$37)</f>
        <v>0</v>
      </c>
    </row>
    <row r="120" spans="1:12" hidden="1" x14ac:dyDescent="0.55000000000000004">
      <c r="A120" s="3" t="s">
        <v>38</v>
      </c>
      <c r="B120" s="3" t="s">
        <v>75</v>
      </c>
      <c r="C120" s="1" t="str">
        <f>IF(MOD(ROW(),6 )= 2,Table2[[#This Row],[Titel]],C119)</f>
        <v>Decimal2</v>
      </c>
      <c r="D120" s="1" t="str">
        <f>VLOOKUP(Table2[[#This Row],[Type]],Table2[[Titel]:[Values]],2,FALSE)</f>
        <v>110505332448475000000000</v>
      </c>
      <c r="E120" s="1" t="str">
        <f ca="1">OFFSET(INDIRECT(ADDRESS(MATCH(Table2[[#This Row],[Type]],Table2[Titel],0),2)),2,0)</f>
        <v>0E00 0000 6617 0000 00CE 8247 8B2B 8E81</v>
      </c>
      <c r="F120" s="1" t="s">
        <v>131</v>
      </c>
      <c r="G120" s="1" t="str">
        <f ca="1">OFFSET(INDIRECT(ADDRESS(MATCH(Table2[[#This Row],[Type]],Table2[Titel],0),2)),3,0)</f>
        <v>00 00 17 66 00 00</v>
      </c>
      <c r="H120" s="1" t="str">
        <f ca="1">OFFSET(INDIRECT(ADDRESS(MATCH(Table2[[#This Row],[Type]],Table2[Titel],0),2)),4,0)</f>
        <v>81 8E 2B 8B 47 82 CE 00</v>
      </c>
      <c r="I120" s="1" t="str">
        <f ca="1">OFFSET(INDIRECT(ADDRESS(MATCH(Table2[[#This Row],[Type]],Table2[Titel],0),2)),5,0)</f>
        <v>0E00</v>
      </c>
      <c r="J120" s="1" t="b">
        <f t="shared" si="4"/>
        <v>0</v>
      </c>
      <c r="K120" s="1" t="str">
        <f ca="1">LEFT(Table2[[#This Row],[VarType:]],2)</f>
        <v>0E</v>
      </c>
      <c r="L120" s="1" t="b">
        <f ca="1">HEX2DEC(Table2[[#This Row],[VarType:]])&gt;=HEX2DEC(VT_Stuff!$C$37)</f>
        <v>0</v>
      </c>
    </row>
    <row r="121" spans="1:12" hidden="1" x14ac:dyDescent="0.55000000000000004">
      <c r="A121" s="3"/>
      <c r="B121" s="3"/>
      <c r="C121" s="1" t="str">
        <f>IF(MOD(ROW(),6 )= 2,Table2[[#This Row],[Titel]],C120)</f>
        <v>Decimal2</v>
      </c>
      <c r="D121" s="1" t="str">
        <f>VLOOKUP(Table2[[#This Row],[Type]],Table2[[Titel]:[Values]],2,FALSE)</f>
        <v>110505332448475000000000</v>
      </c>
      <c r="E121" s="1" t="str">
        <f ca="1">OFFSET(INDIRECT(ADDRESS(MATCH(Table2[[#This Row],[Type]],Table2[Titel],0),2)),2,0)</f>
        <v>0E00 0000 6617 0000 00CE 8247 8B2B 8E81</v>
      </c>
      <c r="F121" s="1" t="s">
        <v>131</v>
      </c>
      <c r="G121" s="1" t="str">
        <f ca="1">OFFSET(INDIRECT(ADDRESS(MATCH(Table2[[#This Row],[Type]],Table2[Titel],0),2)),3,0)</f>
        <v>00 00 17 66 00 00</v>
      </c>
      <c r="H121" s="1" t="str">
        <f ca="1">OFFSET(INDIRECT(ADDRESS(MATCH(Table2[[#This Row],[Type]],Table2[Titel],0),2)),4,0)</f>
        <v>81 8E 2B 8B 47 82 CE 00</v>
      </c>
      <c r="I121" s="1" t="str">
        <f ca="1">OFFSET(INDIRECT(ADDRESS(MATCH(Table2[[#This Row],[Type]],Table2[Titel],0),2)),5,0)</f>
        <v>0E00</v>
      </c>
      <c r="J121" s="1" t="b">
        <f t="shared" si="4"/>
        <v>0</v>
      </c>
      <c r="K121" s="1" t="str">
        <f ca="1">LEFT(Table2[[#This Row],[VarType:]],2)</f>
        <v>0E</v>
      </c>
      <c r="L121" s="1" t="b">
        <f ca="1">HEX2DEC(Table2[[#This Row],[VarType:]])&gt;=HEX2DEC(VT_Stuff!$C$37)</f>
        <v>0</v>
      </c>
    </row>
    <row r="122" spans="1:12" x14ac:dyDescent="0.55000000000000004">
      <c r="A122" s="3" t="s">
        <v>121</v>
      </c>
      <c r="B122" s="3" t="s">
        <v>112</v>
      </c>
      <c r="C122" s="1" t="str">
        <f>IF(MOD(ROW(),6 )= 2,Table2[[#This Row],[Titel]],C121)</f>
        <v>Double2</v>
      </c>
      <c r="D122" s="1" t="str">
        <f>VLOOKUP(Table2[[#This Row],[Type]],Table2[[Titel]:[Values]],2,FALSE)</f>
        <v>1.10505332448475E+23</v>
      </c>
      <c r="E122" s="1" t="str">
        <f ca="1">OFFSET(INDIRECT(ADDRESS(MATCH(Table2[[#This Row],[Type]],Table2[Titel],0),2)),2,0)</f>
        <v>0500 0000 6617 0000 338B 2B8E 8166 B744</v>
      </c>
      <c r="F122" s="1" t="s">
        <v>143</v>
      </c>
      <c r="G122" s="1" t="str">
        <f ca="1">OFFSET(INDIRECT(ADDRESS(MATCH(Table2[[#This Row],[Type]],Table2[Titel],0),2)),3,0)</f>
        <v>00 00 17 66 00 00</v>
      </c>
      <c r="H122" s="1" t="str">
        <f ca="1">OFFSET(INDIRECT(ADDRESS(MATCH(Table2[[#This Row],[Type]],Table2[Titel],0),2)),4,0)</f>
        <v>44 B7 66 81 8E 2B 8B 33</v>
      </c>
      <c r="I122" s="1" t="str">
        <f ca="1">OFFSET(INDIRECT(ADDRESS(MATCH(Table2[[#This Row],[Type]],Table2[Titel],0),2)),5,0)</f>
        <v>0500</v>
      </c>
      <c r="J122" s="1" t="b">
        <f t="shared" si="4"/>
        <v>1</v>
      </c>
      <c r="K122" s="1" t="str">
        <f ca="1">LEFT(Table2[[#This Row],[VarType:]],2)</f>
        <v>05</v>
      </c>
      <c r="L122" s="1"/>
    </row>
    <row r="123" spans="1:12" hidden="1" x14ac:dyDescent="0.55000000000000004">
      <c r="A123" s="3" t="s">
        <v>32</v>
      </c>
      <c r="B123" s="3" t="s">
        <v>113</v>
      </c>
      <c r="C123" s="1" t="str">
        <f>IF(MOD(ROW(),6 )= 2,Table2[[#This Row],[Titel]],C122)</f>
        <v>Double2</v>
      </c>
      <c r="D123" s="1" t="str">
        <f>VLOOKUP(Table2[[#This Row],[Type]],Table2[[Titel]:[Values]],2,FALSE)</f>
        <v>1.10505332448475E+23</v>
      </c>
      <c r="E123" s="1" t="str">
        <f ca="1">OFFSET(INDIRECT(ADDRESS(MATCH(Table2[[#This Row],[Type]],Table2[Titel],0),2)),2,0)</f>
        <v>0500 0000 6617 0000 338B 2B8E 8166 B744</v>
      </c>
      <c r="F123" s="1" t="s">
        <v>131</v>
      </c>
      <c r="G123" s="1" t="str">
        <f ca="1">OFFSET(INDIRECT(ADDRESS(MATCH(Table2[[#This Row],[Type]],Table2[Titel],0),2)),3,0)</f>
        <v>00 00 17 66 00 00</v>
      </c>
      <c r="H123" s="1" t="str">
        <f ca="1">OFFSET(INDIRECT(ADDRESS(MATCH(Table2[[#This Row],[Type]],Table2[Titel],0),2)),4,0)</f>
        <v>44 B7 66 81 8E 2B 8B 33</v>
      </c>
      <c r="I123" s="1" t="str">
        <f ca="1">OFFSET(INDIRECT(ADDRESS(MATCH(Table2[[#This Row],[Type]],Table2[Titel],0),2)),5,0)</f>
        <v>0500</v>
      </c>
      <c r="J123" s="1" t="b">
        <f t="shared" si="4"/>
        <v>0</v>
      </c>
      <c r="K123" s="1" t="str">
        <f ca="1">LEFT(Table2[[#This Row],[VarType:]],2)</f>
        <v>05</v>
      </c>
      <c r="L123" s="1" t="b">
        <f ca="1">HEX2DEC(Table2[[#This Row],[VarType:]])&gt;=HEX2DEC(VT_Stuff!$C$37)</f>
        <v>0</v>
      </c>
    </row>
    <row r="124" spans="1:12" hidden="1" x14ac:dyDescent="0.55000000000000004">
      <c r="A124" s="3" t="s">
        <v>34</v>
      </c>
      <c r="B124" s="3" t="s">
        <v>110</v>
      </c>
      <c r="C124" s="1" t="str">
        <f>IF(MOD(ROW(),6 )= 2,Table2[[#This Row],[Titel]],C123)</f>
        <v>Double2</v>
      </c>
      <c r="D124" s="1" t="str">
        <f>VLOOKUP(Table2[[#This Row],[Type]],Table2[[Titel]:[Values]],2,FALSE)</f>
        <v>1.10505332448475E+23</v>
      </c>
      <c r="E124" s="1" t="str">
        <f ca="1">OFFSET(INDIRECT(ADDRESS(MATCH(Table2[[#This Row],[Type]],Table2[Titel],0),2)),2,0)</f>
        <v>0500 0000 6617 0000 338B 2B8E 8166 B744</v>
      </c>
      <c r="F124" s="1" t="s">
        <v>131</v>
      </c>
      <c r="G124" s="1" t="str">
        <f ca="1">OFFSET(INDIRECT(ADDRESS(MATCH(Table2[[#This Row],[Type]],Table2[Titel],0),2)),3,0)</f>
        <v>00 00 17 66 00 00</v>
      </c>
      <c r="H124" s="1" t="str">
        <f ca="1">OFFSET(INDIRECT(ADDRESS(MATCH(Table2[[#This Row],[Type]],Table2[Titel],0),2)),4,0)</f>
        <v>44 B7 66 81 8E 2B 8B 33</v>
      </c>
      <c r="I124" s="1" t="str">
        <f ca="1">OFFSET(INDIRECT(ADDRESS(MATCH(Table2[[#This Row],[Type]],Table2[Titel],0),2)),5,0)</f>
        <v>0500</v>
      </c>
      <c r="J124" s="1" t="b">
        <f t="shared" si="4"/>
        <v>0</v>
      </c>
      <c r="K124" s="1" t="str">
        <f ca="1">LEFT(Table2[[#This Row],[VarType:]],2)</f>
        <v>05</v>
      </c>
      <c r="L124" s="1" t="b">
        <f ca="1">HEX2DEC(Table2[[#This Row],[VarType:]])&gt;=HEX2DEC(VT_Stuff!$C$37)</f>
        <v>0</v>
      </c>
    </row>
    <row r="125" spans="1:12" hidden="1" x14ac:dyDescent="0.55000000000000004">
      <c r="A125" s="3" t="s">
        <v>36</v>
      </c>
      <c r="B125" s="3" t="s">
        <v>114</v>
      </c>
      <c r="C125" s="1" t="str">
        <f>IF(MOD(ROW(),6 )= 2,Table2[[#This Row],[Titel]],C124)</f>
        <v>Double2</v>
      </c>
      <c r="D125" s="1" t="str">
        <f>VLOOKUP(Table2[[#This Row],[Type]],Table2[[Titel]:[Values]],2,FALSE)</f>
        <v>1.10505332448475E+23</v>
      </c>
      <c r="E125" s="1" t="str">
        <f ca="1">OFFSET(INDIRECT(ADDRESS(MATCH(Table2[[#This Row],[Type]],Table2[Titel],0),2)),2,0)</f>
        <v>0500 0000 6617 0000 338B 2B8E 8166 B744</v>
      </c>
      <c r="F125" s="1" t="s">
        <v>131</v>
      </c>
      <c r="G125" s="1" t="str">
        <f ca="1">OFFSET(INDIRECT(ADDRESS(MATCH(Table2[[#This Row],[Type]],Table2[Titel],0),2)),3,0)</f>
        <v>00 00 17 66 00 00</v>
      </c>
      <c r="H125" s="1" t="str">
        <f ca="1">OFFSET(INDIRECT(ADDRESS(MATCH(Table2[[#This Row],[Type]],Table2[Titel],0),2)),4,0)</f>
        <v>44 B7 66 81 8E 2B 8B 33</v>
      </c>
      <c r="I125" s="1" t="str">
        <f ca="1">OFFSET(INDIRECT(ADDRESS(MATCH(Table2[[#This Row],[Type]],Table2[Titel],0),2)),5,0)</f>
        <v>0500</v>
      </c>
      <c r="J125" s="1" t="b">
        <f t="shared" si="4"/>
        <v>0</v>
      </c>
      <c r="K125" s="1" t="str">
        <f ca="1">LEFT(Table2[[#This Row],[VarType:]],2)</f>
        <v>05</v>
      </c>
      <c r="L125" s="1" t="b">
        <f ca="1">HEX2DEC(Table2[[#This Row],[VarType:]])&gt;=HEX2DEC(VT_Stuff!$C$37)</f>
        <v>0</v>
      </c>
    </row>
    <row r="126" spans="1:12" hidden="1" x14ac:dyDescent="0.55000000000000004">
      <c r="A126" s="3" t="s">
        <v>38</v>
      </c>
      <c r="B126" s="3" t="s">
        <v>76</v>
      </c>
      <c r="C126" s="1" t="str">
        <f>IF(MOD(ROW(),6 )= 2,Table2[[#This Row],[Titel]],C125)</f>
        <v>Double2</v>
      </c>
      <c r="D126" s="1" t="str">
        <f>VLOOKUP(Table2[[#This Row],[Type]],Table2[[Titel]:[Values]],2,FALSE)</f>
        <v>1.10505332448475E+23</v>
      </c>
      <c r="E126" s="1" t="str">
        <f ca="1">OFFSET(INDIRECT(ADDRESS(MATCH(Table2[[#This Row],[Type]],Table2[Titel],0),2)),2,0)</f>
        <v>0500 0000 6617 0000 338B 2B8E 8166 B744</v>
      </c>
      <c r="F126" s="1" t="s">
        <v>131</v>
      </c>
      <c r="G126" s="1" t="str">
        <f ca="1">OFFSET(INDIRECT(ADDRESS(MATCH(Table2[[#This Row],[Type]],Table2[Titel],0),2)),3,0)</f>
        <v>00 00 17 66 00 00</v>
      </c>
      <c r="H126" s="1" t="str">
        <f ca="1">OFFSET(INDIRECT(ADDRESS(MATCH(Table2[[#This Row],[Type]],Table2[Titel],0),2)),4,0)</f>
        <v>44 B7 66 81 8E 2B 8B 33</v>
      </c>
      <c r="I126" s="1" t="str">
        <f ca="1">OFFSET(INDIRECT(ADDRESS(MATCH(Table2[[#This Row],[Type]],Table2[Titel],0),2)),5,0)</f>
        <v>0500</v>
      </c>
      <c r="J126" s="1" t="b">
        <f t="shared" si="4"/>
        <v>0</v>
      </c>
      <c r="K126" s="1" t="str">
        <f ca="1">LEFT(Table2[[#This Row],[VarType:]],2)</f>
        <v>05</v>
      </c>
      <c r="L126" s="1" t="b">
        <f ca="1">HEX2DEC(Table2[[#This Row],[VarType:]])&gt;=HEX2DEC(VT_Stuff!$C$37)</f>
        <v>0</v>
      </c>
    </row>
    <row r="127" spans="1:12" hidden="1" x14ac:dyDescent="0.55000000000000004">
      <c r="A127" s="3"/>
      <c r="B127" s="3"/>
      <c r="C127" s="1" t="str">
        <f>IF(MOD(ROW(),6 )= 2,Table2[[#This Row],[Titel]],C126)</f>
        <v>Double2</v>
      </c>
      <c r="D127" s="1" t="str">
        <f>VLOOKUP(Table2[[#This Row],[Type]],Table2[[Titel]:[Values]],2,FALSE)</f>
        <v>1.10505332448475E+23</v>
      </c>
      <c r="E127" s="1" t="str">
        <f ca="1">OFFSET(INDIRECT(ADDRESS(MATCH(Table2[[#This Row],[Type]],Table2[Titel],0),2)),2,0)</f>
        <v>0500 0000 6617 0000 338B 2B8E 8166 B744</v>
      </c>
      <c r="F127" s="1" t="s">
        <v>131</v>
      </c>
      <c r="G127" s="1" t="str">
        <f ca="1">OFFSET(INDIRECT(ADDRESS(MATCH(Table2[[#This Row],[Type]],Table2[Titel],0),2)),3,0)</f>
        <v>00 00 17 66 00 00</v>
      </c>
      <c r="H127" s="1" t="str">
        <f ca="1">OFFSET(INDIRECT(ADDRESS(MATCH(Table2[[#This Row],[Type]],Table2[Titel],0),2)),4,0)</f>
        <v>44 B7 66 81 8E 2B 8B 33</v>
      </c>
      <c r="I127" s="1" t="str">
        <f ca="1">OFFSET(INDIRECT(ADDRESS(MATCH(Table2[[#This Row],[Type]],Table2[Titel],0),2)),5,0)</f>
        <v>0500</v>
      </c>
      <c r="J127" s="1" t="b">
        <f t="shared" si="4"/>
        <v>0</v>
      </c>
      <c r="K127" s="1" t="str">
        <f ca="1">LEFT(Table2[[#This Row],[VarType:]],2)</f>
        <v>05</v>
      </c>
      <c r="L127" s="1" t="b">
        <f ca="1">HEX2DEC(Table2[[#This Row],[VarType:]])&gt;=HEX2DEC(VT_Stuff!$C$37)</f>
        <v>0</v>
      </c>
    </row>
    <row r="128" spans="1:12" x14ac:dyDescent="0.55000000000000004">
      <c r="A128" s="3" t="s">
        <v>122</v>
      </c>
      <c r="B128" s="3" t="s">
        <v>115</v>
      </c>
      <c r="C128" s="1" t="str">
        <f>IF(MOD(ROW(),6 )= 2,Table2[[#This Row],[Titel]],C127)</f>
        <v>Single2</v>
      </c>
      <c r="D128" s="1" t="str">
        <f>VLOOKUP(Table2[[#This Row],[Type]],Table2[[Titel]:[Values]],2,FALSE)</f>
        <v>1.105053E+23</v>
      </c>
      <c r="E128" s="1" t="str">
        <f ca="1">OFFSET(INDIRECT(ADDRESS(MATCH(Table2[[#This Row],[Type]],Table2[Titel],0),2)),2,0)</f>
        <v>0400 0000 6617 0000 0C34 BB65 8166 B744</v>
      </c>
      <c r="F128" s="1" t="s">
        <v>144</v>
      </c>
      <c r="G128" s="1" t="str">
        <f ca="1">OFFSET(INDIRECT(ADDRESS(MATCH(Table2[[#This Row],[Type]],Table2[Titel],0),2)),3,0)</f>
        <v>00 00 17 66 00 00</v>
      </c>
      <c r="H128" s="1" t="str">
        <f ca="1">OFFSET(INDIRECT(ADDRESS(MATCH(Table2[[#This Row],[Type]],Table2[Titel],0),2)),4,0)</f>
        <v>44 B7 66 81 65 BB 34 0C</v>
      </c>
      <c r="I128" s="1" t="str">
        <f ca="1">OFFSET(INDIRECT(ADDRESS(MATCH(Table2[[#This Row],[Type]],Table2[Titel],0),2)),5,0)</f>
        <v>0400</v>
      </c>
      <c r="J128" s="1" t="b">
        <f t="shared" si="4"/>
        <v>1</v>
      </c>
      <c r="K128" s="1" t="str">
        <f ca="1">LEFT(Table2[[#This Row],[VarType:]],2)</f>
        <v>04</v>
      </c>
      <c r="L128" s="1"/>
    </row>
    <row r="129" spans="1:12" hidden="1" x14ac:dyDescent="0.55000000000000004">
      <c r="A129" s="3" t="s">
        <v>32</v>
      </c>
      <c r="B129" s="3" t="s">
        <v>116</v>
      </c>
      <c r="C129" s="1" t="str">
        <f>IF(MOD(ROW(),6 )= 2,Table2[[#This Row],[Titel]],C128)</f>
        <v>Single2</v>
      </c>
      <c r="D129" s="1" t="str">
        <f>VLOOKUP(Table2[[#This Row],[Type]],Table2[[Titel]:[Values]],2,FALSE)</f>
        <v>1.105053E+23</v>
      </c>
      <c r="E129" s="1" t="str">
        <f ca="1">OFFSET(INDIRECT(ADDRESS(MATCH(Table2[[#This Row],[Type]],Table2[Titel],0),2)),2,0)</f>
        <v>0400 0000 6617 0000 0C34 BB65 8166 B744</v>
      </c>
      <c r="F129" s="1" t="s">
        <v>131</v>
      </c>
      <c r="G129" s="1" t="str">
        <f ca="1">OFFSET(INDIRECT(ADDRESS(MATCH(Table2[[#This Row],[Type]],Table2[Titel],0),2)),3,0)</f>
        <v>00 00 17 66 00 00</v>
      </c>
      <c r="H129" s="1" t="str">
        <f ca="1">OFFSET(INDIRECT(ADDRESS(MATCH(Table2[[#This Row],[Type]],Table2[Titel],0),2)),4,0)</f>
        <v>44 B7 66 81 65 BB 34 0C</v>
      </c>
      <c r="I129" s="1" t="str">
        <f ca="1">OFFSET(INDIRECT(ADDRESS(MATCH(Table2[[#This Row],[Type]],Table2[Titel],0),2)),5,0)</f>
        <v>0400</v>
      </c>
      <c r="J129" s="1" t="b">
        <f t="shared" si="4"/>
        <v>0</v>
      </c>
      <c r="K129" s="1" t="str">
        <f ca="1">LEFT(Table2[[#This Row],[VarType:]],2)</f>
        <v>04</v>
      </c>
      <c r="L129" s="1" t="b">
        <f ca="1">HEX2DEC(Table2[[#This Row],[VarType:]])&gt;=HEX2DEC(VT_Stuff!$C$37)</f>
        <v>0</v>
      </c>
    </row>
    <row r="130" spans="1:12" hidden="1" x14ac:dyDescent="0.55000000000000004">
      <c r="A130" s="3" t="s">
        <v>34</v>
      </c>
      <c r="B130" s="3" t="s">
        <v>110</v>
      </c>
      <c r="C130" s="1" t="str">
        <f>IF(MOD(ROW(),6 )= 2,Table2[[#This Row],[Titel]],C129)</f>
        <v>Single2</v>
      </c>
      <c r="D130" s="1" t="str">
        <f>VLOOKUP(Table2[[#This Row],[Type]],Table2[[Titel]:[Values]],2,FALSE)</f>
        <v>1.105053E+23</v>
      </c>
      <c r="E130" s="1" t="str">
        <f ca="1">OFFSET(INDIRECT(ADDRESS(MATCH(Table2[[#This Row],[Type]],Table2[Titel],0),2)),2,0)</f>
        <v>0400 0000 6617 0000 0C34 BB65 8166 B744</v>
      </c>
      <c r="F130" s="1" t="s">
        <v>131</v>
      </c>
      <c r="G130" s="1" t="str">
        <f ca="1">OFFSET(INDIRECT(ADDRESS(MATCH(Table2[[#This Row],[Type]],Table2[Titel],0),2)),3,0)</f>
        <v>00 00 17 66 00 00</v>
      </c>
      <c r="H130" s="1" t="str">
        <f ca="1">OFFSET(INDIRECT(ADDRESS(MATCH(Table2[[#This Row],[Type]],Table2[Titel],0),2)),4,0)</f>
        <v>44 B7 66 81 65 BB 34 0C</v>
      </c>
      <c r="I130" s="1" t="str">
        <f ca="1">OFFSET(INDIRECT(ADDRESS(MATCH(Table2[[#This Row],[Type]],Table2[Titel],0),2)),5,0)</f>
        <v>0400</v>
      </c>
      <c r="J130" s="1" t="b">
        <f t="shared" si="4"/>
        <v>0</v>
      </c>
      <c r="K130" s="1" t="str">
        <f ca="1">LEFT(Table2[[#This Row],[VarType:]],2)</f>
        <v>04</v>
      </c>
      <c r="L130" s="1" t="b">
        <f ca="1">HEX2DEC(Table2[[#This Row],[VarType:]])&gt;=HEX2DEC(VT_Stuff!$C$37)</f>
        <v>0</v>
      </c>
    </row>
    <row r="131" spans="1:12" hidden="1" x14ac:dyDescent="0.55000000000000004">
      <c r="A131" s="3" t="s">
        <v>36</v>
      </c>
      <c r="B131" s="3" t="s">
        <v>117</v>
      </c>
      <c r="C131" s="1" t="str">
        <f>IF(MOD(ROW(),6 )= 2,Table2[[#This Row],[Titel]],C130)</f>
        <v>Single2</v>
      </c>
      <c r="D131" s="1" t="str">
        <f>VLOOKUP(Table2[[#This Row],[Type]],Table2[[Titel]:[Values]],2,FALSE)</f>
        <v>1.105053E+23</v>
      </c>
      <c r="E131" s="1" t="str">
        <f ca="1">OFFSET(INDIRECT(ADDRESS(MATCH(Table2[[#This Row],[Type]],Table2[Titel],0),2)),2,0)</f>
        <v>0400 0000 6617 0000 0C34 BB65 8166 B744</v>
      </c>
      <c r="F131" s="1" t="s">
        <v>131</v>
      </c>
      <c r="G131" s="1" t="str">
        <f ca="1">OFFSET(INDIRECT(ADDRESS(MATCH(Table2[[#This Row],[Type]],Table2[Titel],0),2)),3,0)</f>
        <v>00 00 17 66 00 00</v>
      </c>
      <c r="H131" s="1" t="str">
        <f ca="1">OFFSET(INDIRECT(ADDRESS(MATCH(Table2[[#This Row],[Type]],Table2[Titel],0),2)),4,0)</f>
        <v>44 B7 66 81 65 BB 34 0C</v>
      </c>
      <c r="I131" s="1" t="str">
        <f ca="1">OFFSET(INDIRECT(ADDRESS(MATCH(Table2[[#This Row],[Type]],Table2[Titel],0),2)),5,0)</f>
        <v>0400</v>
      </c>
      <c r="J131" s="1" t="b">
        <f t="shared" si="4"/>
        <v>0</v>
      </c>
      <c r="K131" s="1" t="str">
        <f ca="1">LEFT(Table2[[#This Row],[VarType:]],2)</f>
        <v>04</v>
      </c>
      <c r="L131" s="1" t="b">
        <f ca="1">HEX2DEC(Table2[[#This Row],[VarType:]])&gt;=HEX2DEC(VT_Stuff!$C$37)</f>
        <v>0</v>
      </c>
    </row>
    <row r="132" spans="1:12" hidden="1" x14ac:dyDescent="0.55000000000000004">
      <c r="A132" s="3" t="s">
        <v>38</v>
      </c>
      <c r="B132" s="3" t="s">
        <v>79</v>
      </c>
      <c r="C132" s="1" t="str">
        <f>IF(MOD(ROW(),6 )= 2,Table2[[#This Row],[Titel]],C131)</f>
        <v>Single2</v>
      </c>
      <c r="D132" s="1" t="str">
        <f>VLOOKUP(Table2[[#This Row],[Type]],Table2[[Titel]:[Values]],2,FALSE)</f>
        <v>1.105053E+23</v>
      </c>
      <c r="E132" s="1" t="str">
        <f ca="1">OFFSET(INDIRECT(ADDRESS(MATCH(Table2[[#This Row],[Type]],Table2[Titel],0),2)),2,0)</f>
        <v>0400 0000 6617 0000 0C34 BB65 8166 B744</v>
      </c>
      <c r="F132" s="1" t="s">
        <v>131</v>
      </c>
      <c r="G132" s="1" t="str">
        <f ca="1">OFFSET(INDIRECT(ADDRESS(MATCH(Table2[[#This Row],[Type]],Table2[Titel],0),2)),3,0)</f>
        <v>00 00 17 66 00 00</v>
      </c>
      <c r="H132" s="1" t="str">
        <f ca="1">OFFSET(INDIRECT(ADDRESS(MATCH(Table2[[#This Row],[Type]],Table2[Titel],0),2)),4,0)</f>
        <v>44 B7 66 81 65 BB 34 0C</v>
      </c>
      <c r="I132" s="1" t="str">
        <f ca="1">OFFSET(INDIRECT(ADDRESS(MATCH(Table2[[#This Row],[Type]],Table2[Titel],0),2)),5,0)</f>
        <v>0400</v>
      </c>
      <c r="J132" s="1" t="b">
        <f t="shared" si="4"/>
        <v>0</v>
      </c>
      <c r="K132" s="1" t="str">
        <f ca="1">LEFT(Table2[[#This Row],[VarType:]],2)</f>
        <v>04</v>
      </c>
      <c r="L132" s="1" t="b">
        <f ca="1">HEX2DEC(Table2[[#This Row],[VarType:]])&gt;=HEX2DEC(VT_Stuff!$C$37)</f>
        <v>0</v>
      </c>
    </row>
    <row r="133" spans="1:12" hidden="1" x14ac:dyDescent="0.55000000000000004">
      <c r="A133" s="3"/>
      <c r="B133" s="3"/>
      <c r="C133" s="1" t="str">
        <f>IF(MOD(ROW(),6 )= 2,Table2[[#This Row],[Titel]],C132)</f>
        <v>Single2</v>
      </c>
      <c r="D133" s="1" t="str">
        <f>VLOOKUP(Table2[[#This Row],[Type]],Table2[[Titel]:[Values]],2,FALSE)</f>
        <v>1.105053E+23</v>
      </c>
      <c r="E133" s="1" t="str">
        <f ca="1">OFFSET(INDIRECT(ADDRESS(MATCH(Table2[[#This Row],[Type]],Table2[Titel],0),2)),2,0)</f>
        <v>0400 0000 6617 0000 0C34 BB65 8166 B744</v>
      </c>
      <c r="F133" s="1" t="s">
        <v>131</v>
      </c>
      <c r="G133" s="1" t="str">
        <f ca="1">OFFSET(INDIRECT(ADDRESS(MATCH(Table2[[#This Row],[Type]],Table2[Titel],0),2)),3,0)</f>
        <v>00 00 17 66 00 00</v>
      </c>
      <c r="H133" s="1" t="str">
        <f ca="1">OFFSET(INDIRECT(ADDRESS(MATCH(Table2[[#This Row],[Type]],Table2[Titel],0),2)),4,0)</f>
        <v>44 B7 66 81 65 BB 34 0C</v>
      </c>
      <c r="I133" s="1" t="str">
        <f ca="1">OFFSET(INDIRECT(ADDRESS(MATCH(Table2[[#This Row],[Type]],Table2[Titel],0),2)),5,0)</f>
        <v>0400</v>
      </c>
      <c r="J133" s="1" t="b">
        <f t="shared" si="4"/>
        <v>0</v>
      </c>
      <c r="K133" s="1" t="str">
        <f ca="1">LEFT(Table2[[#This Row],[VarType:]],2)</f>
        <v>04</v>
      </c>
      <c r="L133" s="1" t="b">
        <f ca="1">HEX2DEC(Table2[[#This Row],[VarType:]])&gt;=HEX2DEC(VT_Stuff!$C$37)</f>
        <v>0</v>
      </c>
    </row>
    <row r="134" spans="1:12" x14ac:dyDescent="0.55000000000000004">
      <c r="A134" s="3" t="s">
        <v>123</v>
      </c>
      <c r="B134" s="3" t="s">
        <v>112</v>
      </c>
      <c r="C134" s="1" t="str">
        <f>IF(MOD(ROW(),6 )= 2,Table2[[#This Row],[Titel]],C133)</f>
        <v>String2</v>
      </c>
      <c r="D134" s="1" t="str">
        <f>VLOOKUP(Table2[[#This Row],[Type]],Table2[[Titel]:[Values]],2,FALSE)</f>
        <v>1.10505332448475E+23</v>
      </c>
      <c r="E134" s="1" t="str">
        <f ca="1">OFFSET(INDIRECT(ADDRESS(MATCH(Table2[[#This Row],[Type]],Table2[Titel],0),2)),2,0)</f>
        <v>0800 0000 6617 0000 FC83 7C40 8166 B744</v>
      </c>
      <c r="F134" s="1" t="s">
        <v>145</v>
      </c>
      <c r="G134" s="1" t="str">
        <f ca="1">OFFSET(INDIRECT(ADDRESS(MATCH(Table2[[#This Row],[Type]],Table2[Titel],0),2)),3,0)</f>
        <v>00 00 17 66 00 00</v>
      </c>
      <c r="H134" s="1" t="str">
        <f ca="1">OFFSET(INDIRECT(ADDRESS(MATCH(Table2[[#This Row],[Type]],Table2[Titel],0),2)),4,0)</f>
        <v>44 B7 66 81 40 7C 83 FC</v>
      </c>
      <c r="I134" s="1" t="str">
        <f ca="1">OFFSET(INDIRECT(ADDRESS(MATCH(Table2[[#This Row],[Type]],Table2[Titel],0),2)),5,0)</f>
        <v>0800</v>
      </c>
      <c r="J134" s="1" t="b">
        <f t="shared" si="4"/>
        <v>1</v>
      </c>
      <c r="K134" s="1" t="str">
        <f ca="1">LEFT(Table2[[#This Row],[VarType:]],2)</f>
        <v>08</v>
      </c>
      <c r="L134" s="1"/>
    </row>
    <row r="135" spans="1:12" hidden="1" x14ac:dyDescent="0.55000000000000004">
      <c r="A135" s="3" t="s">
        <v>32</v>
      </c>
      <c r="B135" s="3" t="s">
        <v>118</v>
      </c>
      <c r="C135" s="1" t="str">
        <f>IF(MOD(ROW(),6 )= 2,Table2[[#This Row],[Titel]],C134)</f>
        <v>String2</v>
      </c>
      <c r="D135" s="1" t="str">
        <f>VLOOKUP(Table2[[#This Row],[Type]],Table2[[Titel]:[Values]],2,FALSE)</f>
        <v>1.10505332448475E+23</v>
      </c>
      <c r="E135" s="1" t="str">
        <f ca="1">OFFSET(INDIRECT(ADDRESS(MATCH(Table2[[#This Row],[Type]],Table2[Titel],0),2)),2,0)</f>
        <v>0800 0000 6617 0000 FC83 7C40 8166 B744</v>
      </c>
      <c r="F135" s="1" t="s">
        <v>131</v>
      </c>
      <c r="G135" s="1" t="str">
        <f ca="1">OFFSET(INDIRECT(ADDRESS(MATCH(Table2[[#This Row],[Type]],Table2[Titel],0),2)),3,0)</f>
        <v>00 00 17 66 00 00</v>
      </c>
      <c r="H135" s="1" t="str">
        <f ca="1">OFFSET(INDIRECT(ADDRESS(MATCH(Table2[[#This Row],[Type]],Table2[Titel],0),2)),4,0)</f>
        <v>44 B7 66 81 40 7C 83 FC</v>
      </c>
      <c r="I135" s="1" t="str">
        <f ca="1">OFFSET(INDIRECT(ADDRESS(MATCH(Table2[[#This Row],[Type]],Table2[Titel],0),2)),5,0)</f>
        <v>0800</v>
      </c>
      <c r="J135" s="1" t="b">
        <f t="shared" si="4"/>
        <v>0</v>
      </c>
      <c r="K135" s="1" t="str">
        <f ca="1">LEFT(Table2[[#This Row],[VarType:]],2)</f>
        <v>08</v>
      </c>
      <c r="L135" s="1" t="b">
        <f ca="1">HEX2DEC(Table2[[#This Row],[VarType:]])&gt;=HEX2DEC(VT_Stuff!$C$37)</f>
        <v>0</v>
      </c>
    </row>
    <row r="136" spans="1:12" hidden="1" x14ac:dyDescent="0.55000000000000004">
      <c r="A136" s="3" t="s">
        <v>34</v>
      </c>
      <c r="B136" s="3" t="s">
        <v>110</v>
      </c>
      <c r="C136" s="1" t="str">
        <f>IF(MOD(ROW(),6 )= 2,Table2[[#This Row],[Titel]],C135)</f>
        <v>String2</v>
      </c>
      <c r="D136" s="1" t="str">
        <f>VLOOKUP(Table2[[#This Row],[Type]],Table2[[Titel]:[Values]],2,FALSE)</f>
        <v>1.10505332448475E+23</v>
      </c>
      <c r="E136" s="1" t="str">
        <f ca="1">OFFSET(INDIRECT(ADDRESS(MATCH(Table2[[#This Row],[Type]],Table2[Titel],0),2)),2,0)</f>
        <v>0800 0000 6617 0000 FC83 7C40 8166 B744</v>
      </c>
      <c r="F136" s="1" t="s">
        <v>131</v>
      </c>
      <c r="G136" s="1" t="str">
        <f ca="1">OFFSET(INDIRECT(ADDRESS(MATCH(Table2[[#This Row],[Type]],Table2[Titel],0),2)),3,0)</f>
        <v>00 00 17 66 00 00</v>
      </c>
      <c r="H136" s="1" t="str">
        <f ca="1">OFFSET(INDIRECT(ADDRESS(MATCH(Table2[[#This Row],[Type]],Table2[Titel],0),2)),4,0)</f>
        <v>44 B7 66 81 40 7C 83 FC</v>
      </c>
      <c r="I136" s="1" t="str">
        <f ca="1">OFFSET(INDIRECT(ADDRESS(MATCH(Table2[[#This Row],[Type]],Table2[Titel],0),2)),5,0)</f>
        <v>0800</v>
      </c>
      <c r="J136" s="1" t="b">
        <f t="shared" si="4"/>
        <v>0</v>
      </c>
      <c r="K136" s="1" t="str">
        <f ca="1">LEFT(Table2[[#This Row],[VarType:]],2)</f>
        <v>08</v>
      </c>
      <c r="L136" s="1" t="b">
        <f ca="1">HEX2DEC(Table2[[#This Row],[VarType:]])&gt;=HEX2DEC(VT_Stuff!$C$37)</f>
        <v>0</v>
      </c>
    </row>
    <row r="137" spans="1:12" hidden="1" x14ac:dyDescent="0.55000000000000004">
      <c r="A137" s="3" t="s">
        <v>36</v>
      </c>
      <c r="B137" s="3" t="s">
        <v>119</v>
      </c>
      <c r="C137" s="1" t="str">
        <f>IF(MOD(ROW(),6 )= 2,Table2[[#This Row],[Titel]],C136)</f>
        <v>String2</v>
      </c>
      <c r="D137" s="1" t="str">
        <f>VLOOKUP(Table2[[#This Row],[Type]],Table2[[Titel]:[Values]],2,FALSE)</f>
        <v>1.10505332448475E+23</v>
      </c>
      <c r="E137" s="1" t="str">
        <f ca="1">OFFSET(INDIRECT(ADDRESS(MATCH(Table2[[#This Row],[Type]],Table2[Titel],0),2)),2,0)</f>
        <v>0800 0000 6617 0000 FC83 7C40 8166 B744</v>
      </c>
      <c r="F137" s="1" t="s">
        <v>131</v>
      </c>
      <c r="G137" s="1" t="str">
        <f ca="1">OFFSET(INDIRECT(ADDRESS(MATCH(Table2[[#This Row],[Type]],Table2[Titel],0),2)),3,0)</f>
        <v>00 00 17 66 00 00</v>
      </c>
      <c r="H137" s="1" t="str">
        <f ca="1">OFFSET(INDIRECT(ADDRESS(MATCH(Table2[[#This Row],[Type]],Table2[Titel],0),2)),4,0)</f>
        <v>44 B7 66 81 40 7C 83 FC</v>
      </c>
      <c r="I137" s="1" t="str">
        <f ca="1">OFFSET(INDIRECT(ADDRESS(MATCH(Table2[[#This Row],[Type]],Table2[Titel],0),2)),5,0)</f>
        <v>0800</v>
      </c>
      <c r="J137" s="1" t="b">
        <f t="shared" si="4"/>
        <v>0</v>
      </c>
      <c r="K137" s="1" t="str">
        <f ca="1">LEFT(Table2[[#This Row],[VarType:]],2)</f>
        <v>08</v>
      </c>
      <c r="L137" s="1" t="b">
        <f ca="1">HEX2DEC(Table2[[#This Row],[VarType:]])&gt;=HEX2DEC(VT_Stuff!$C$37)</f>
        <v>0</v>
      </c>
    </row>
    <row r="138" spans="1:12" hidden="1" x14ac:dyDescent="0.55000000000000004">
      <c r="A138" s="3" t="s">
        <v>38</v>
      </c>
      <c r="B138" s="3" t="s">
        <v>80</v>
      </c>
      <c r="C138" s="1" t="str">
        <f>IF(MOD(ROW(),6 )= 2,Table2[[#This Row],[Titel]],C137)</f>
        <v>String2</v>
      </c>
      <c r="D138" s="1" t="str">
        <f>VLOOKUP(Table2[[#This Row],[Type]],Table2[[Titel]:[Values]],2,FALSE)</f>
        <v>1.10505332448475E+23</v>
      </c>
      <c r="E138" s="1" t="str">
        <f ca="1">OFFSET(INDIRECT(ADDRESS(MATCH(Table2[[#This Row],[Type]],Table2[Titel],0),2)),2,0)</f>
        <v>0800 0000 6617 0000 FC83 7C40 8166 B744</v>
      </c>
      <c r="F138" s="1" t="s">
        <v>131</v>
      </c>
      <c r="G138" s="1" t="str">
        <f ca="1">OFFSET(INDIRECT(ADDRESS(MATCH(Table2[[#This Row],[Type]],Table2[Titel],0),2)),3,0)</f>
        <v>00 00 17 66 00 00</v>
      </c>
      <c r="H138" s="1" t="str">
        <f ca="1">OFFSET(INDIRECT(ADDRESS(MATCH(Table2[[#This Row],[Type]],Table2[Titel],0),2)),4,0)</f>
        <v>44 B7 66 81 40 7C 83 FC</v>
      </c>
      <c r="I138" s="1" t="str">
        <f ca="1">OFFSET(INDIRECT(ADDRESS(MATCH(Table2[[#This Row],[Type]],Table2[Titel],0),2)),5,0)</f>
        <v>0800</v>
      </c>
      <c r="J138" s="1" t="b">
        <f t="shared" si="4"/>
        <v>0</v>
      </c>
      <c r="K138" s="1" t="str">
        <f ca="1">LEFT(Table2[[#This Row],[VarType:]],2)</f>
        <v>08</v>
      </c>
      <c r="L138" s="1" t="b">
        <f ca="1">HEX2DEC(Table2[[#This Row],[VarType:]])&gt;=HEX2DEC(VT_Stuff!$C$37)</f>
        <v>0</v>
      </c>
    </row>
    <row r="139" spans="1:12" hidden="1" x14ac:dyDescent="0.55000000000000004">
      <c r="A139" s="3"/>
      <c r="B139" s="3"/>
      <c r="C139" s="1" t="str">
        <f>IF(MOD(ROW(),6 )= 2,Table2[[#This Row],[Titel]],C138)</f>
        <v>String2</v>
      </c>
      <c r="D139" s="1" t="str">
        <f>VLOOKUP(Table2[[#This Row],[Type]],Table2[[Titel]:[Values]],2,FALSE)</f>
        <v>1.10505332448475E+23</v>
      </c>
      <c r="E139" s="1" t="str">
        <f ca="1">OFFSET(INDIRECT(ADDRESS(MATCH(Table2[[#This Row],[Type]],Table2[Titel],0),2)),2,0)</f>
        <v>0800 0000 6617 0000 FC83 7C40 8166 B744</v>
      </c>
      <c r="F139" s="1" t="s">
        <v>131</v>
      </c>
      <c r="G139" s="1" t="str">
        <f ca="1">OFFSET(INDIRECT(ADDRESS(MATCH(Table2[[#This Row],[Type]],Table2[Titel],0),2)),3,0)</f>
        <v>00 00 17 66 00 00</v>
      </c>
      <c r="H139" s="1" t="str">
        <f ca="1">OFFSET(INDIRECT(ADDRESS(MATCH(Table2[[#This Row],[Type]],Table2[Titel],0),2)),4,0)</f>
        <v>44 B7 66 81 40 7C 83 FC</v>
      </c>
      <c r="I139" s="1" t="str">
        <f ca="1">OFFSET(INDIRECT(ADDRESS(MATCH(Table2[[#This Row],[Type]],Table2[Titel],0),2)),5,0)</f>
        <v>0800</v>
      </c>
      <c r="J139" s="1" t="b">
        <f t="shared" si="4"/>
        <v>0</v>
      </c>
      <c r="K139" s="1" t="str">
        <f ca="1">LEFT(Table2[[#This Row],[VarType:]],2)</f>
        <v>08</v>
      </c>
      <c r="L139" s="1" t="b">
        <f ca="1">HEX2DEC(Table2[[#This Row],[VarType:]])&gt;=HEX2DEC(VT_Stuff!$C$37)</f>
        <v>0</v>
      </c>
    </row>
    <row r="140" spans="1:12" x14ac:dyDescent="0.55000000000000004">
      <c r="A140" s="3" t="s">
        <v>125</v>
      </c>
      <c r="B140" s="3" t="s">
        <v>112</v>
      </c>
      <c r="C140" s="1" t="str">
        <f>IF(MOD(ROW(),6 )= 2,Table2[[#This Row],[Titel]],C139)</f>
        <v>DoubleVar2</v>
      </c>
      <c r="D140" s="1" t="str">
        <f>VLOOKUP(Table2[[#This Row],[Type]],Table2[[Titel]:[Values]],2,FALSE)</f>
        <v>1.10505332448475E+23</v>
      </c>
      <c r="E140" s="1" t="str">
        <f ca="1">OFFSET(INDIRECT(ADDRESS(MATCH(Table2[[#This Row],[Type]],Table2[Titel],0),2)),2,0)</f>
        <v>0500 0000 0000 0000 338B 2B8E 8166 B744</v>
      </c>
      <c r="F140" s="1" t="s">
        <v>146</v>
      </c>
      <c r="G140" s="1" t="str">
        <f ca="1">OFFSET(INDIRECT(ADDRESS(MATCH(Table2[[#This Row],[Type]],Table2[Titel],0),2)),3,0)</f>
        <v>00 00 00 00 00 00</v>
      </c>
      <c r="H140" s="1" t="str">
        <f ca="1">OFFSET(INDIRECT(ADDRESS(MATCH(Table2[[#This Row],[Type]],Table2[Titel],0),2)),4,0)</f>
        <v>44 B7 66 81 8E 2B 8B 33</v>
      </c>
      <c r="I140" s="1" t="str">
        <f ca="1">OFFSET(INDIRECT(ADDRESS(MATCH(Table2[[#This Row],[Type]],Table2[Titel],0),2)),5,0)</f>
        <v>0500</v>
      </c>
      <c r="J140" s="1" t="b">
        <f t="shared" si="4"/>
        <v>1</v>
      </c>
      <c r="K140" s="1" t="str">
        <f ca="1">LEFT(Table2[[#This Row],[VarType:]],2)</f>
        <v>05</v>
      </c>
      <c r="L140" s="1"/>
    </row>
    <row r="141" spans="1:12" hidden="1" x14ac:dyDescent="0.55000000000000004">
      <c r="A141" s="3" t="s">
        <v>32</v>
      </c>
      <c r="B141" s="3" t="s">
        <v>120</v>
      </c>
      <c r="C141" s="1" t="str">
        <f>IF(MOD(ROW(),6 )= 2,Table2[[#This Row],[Titel]],C140)</f>
        <v>DoubleVar2</v>
      </c>
      <c r="D141" s="1" t="str">
        <f>VLOOKUP(Table2[[#This Row],[Type]],Table2[[Titel]:[Values]],2,FALSE)</f>
        <v>1.10505332448475E+23</v>
      </c>
      <c r="E141" s="1" t="str">
        <f ca="1">OFFSET(INDIRECT(ADDRESS(MATCH(Table2[[#This Row],[Type]],Table2[Titel],0),2)),2,0)</f>
        <v>0500 0000 0000 0000 338B 2B8E 8166 B744</v>
      </c>
      <c r="F141" s="1" t="s">
        <v>131</v>
      </c>
      <c r="G141" s="1" t="str">
        <f ca="1">OFFSET(INDIRECT(ADDRESS(MATCH(Table2[[#This Row],[Type]],Table2[Titel],0),2)),3,0)</f>
        <v>00 00 00 00 00 00</v>
      </c>
      <c r="H141" s="1" t="str">
        <f ca="1">OFFSET(INDIRECT(ADDRESS(MATCH(Table2[[#This Row],[Type]],Table2[Titel],0),2)),4,0)</f>
        <v>44 B7 66 81 8E 2B 8B 33</v>
      </c>
      <c r="I141" s="1" t="str">
        <f ca="1">OFFSET(INDIRECT(ADDRESS(MATCH(Table2[[#This Row],[Type]],Table2[Titel],0),2)),5,0)</f>
        <v>0500</v>
      </c>
      <c r="J141" s="1" t="b">
        <f t="shared" si="4"/>
        <v>0</v>
      </c>
      <c r="K141" s="1" t="str">
        <f ca="1">LEFT(Table2[[#This Row],[VarType:]],2)</f>
        <v>05</v>
      </c>
      <c r="L141" s="1" t="b">
        <f ca="1">HEX2DEC(Table2[[#This Row],[VarType:]])&gt;=HEX2DEC(VT_Stuff!$C$37)</f>
        <v>0</v>
      </c>
    </row>
    <row r="142" spans="1:12" hidden="1" x14ac:dyDescent="0.55000000000000004">
      <c r="A142" s="3" t="s">
        <v>34</v>
      </c>
      <c r="B142" s="3" t="s">
        <v>35</v>
      </c>
      <c r="C142" s="1" t="str">
        <f>IF(MOD(ROW(),6 )= 2,Table2[[#This Row],[Titel]],C141)</f>
        <v>DoubleVar2</v>
      </c>
      <c r="D142" s="1" t="str">
        <f>VLOOKUP(Table2[[#This Row],[Type]],Table2[[Titel]:[Values]],2,FALSE)</f>
        <v>1.10505332448475E+23</v>
      </c>
      <c r="E142" s="1" t="str">
        <f ca="1">OFFSET(INDIRECT(ADDRESS(MATCH(Table2[[#This Row],[Type]],Table2[Titel],0),2)),2,0)</f>
        <v>0500 0000 0000 0000 338B 2B8E 8166 B744</v>
      </c>
      <c r="F142" s="1" t="s">
        <v>131</v>
      </c>
      <c r="G142" s="1" t="str">
        <f ca="1">OFFSET(INDIRECT(ADDRESS(MATCH(Table2[[#This Row],[Type]],Table2[Titel],0),2)),3,0)</f>
        <v>00 00 00 00 00 00</v>
      </c>
      <c r="H142" s="1" t="str">
        <f ca="1">OFFSET(INDIRECT(ADDRESS(MATCH(Table2[[#This Row],[Type]],Table2[Titel],0),2)),4,0)</f>
        <v>44 B7 66 81 8E 2B 8B 33</v>
      </c>
      <c r="I142" s="1" t="str">
        <f ca="1">OFFSET(INDIRECT(ADDRESS(MATCH(Table2[[#This Row],[Type]],Table2[Titel],0),2)),5,0)</f>
        <v>0500</v>
      </c>
      <c r="J142" s="1" t="b">
        <f t="shared" si="4"/>
        <v>0</v>
      </c>
      <c r="K142" s="1" t="str">
        <f ca="1">LEFT(Table2[[#This Row],[VarType:]],2)</f>
        <v>05</v>
      </c>
      <c r="L142" s="1" t="b">
        <f ca="1">HEX2DEC(Table2[[#This Row],[VarType:]])&gt;=HEX2DEC(VT_Stuff!$C$37)</f>
        <v>0</v>
      </c>
    </row>
    <row r="143" spans="1:12" hidden="1" x14ac:dyDescent="0.55000000000000004">
      <c r="A143" s="3" t="s">
        <v>36</v>
      </c>
      <c r="B143" s="3" t="s">
        <v>114</v>
      </c>
      <c r="C143" s="1" t="str">
        <f>IF(MOD(ROW(),6 )= 2,Table2[[#This Row],[Titel]],C142)</f>
        <v>DoubleVar2</v>
      </c>
      <c r="D143" s="1" t="str">
        <f>VLOOKUP(Table2[[#This Row],[Type]],Table2[[Titel]:[Values]],2,FALSE)</f>
        <v>1.10505332448475E+23</v>
      </c>
      <c r="E143" s="1" t="str">
        <f ca="1">OFFSET(INDIRECT(ADDRESS(MATCH(Table2[[#This Row],[Type]],Table2[Titel],0),2)),2,0)</f>
        <v>0500 0000 0000 0000 338B 2B8E 8166 B744</v>
      </c>
      <c r="F143" s="1" t="s">
        <v>131</v>
      </c>
      <c r="G143" s="1" t="str">
        <f ca="1">OFFSET(INDIRECT(ADDRESS(MATCH(Table2[[#This Row],[Type]],Table2[Titel],0),2)),3,0)</f>
        <v>00 00 00 00 00 00</v>
      </c>
      <c r="H143" s="1" t="str">
        <f ca="1">OFFSET(INDIRECT(ADDRESS(MATCH(Table2[[#This Row],[Type]],Table2[Titel],0),2)),4,0)</f>
        <v>44 B7 66 81 8E 2B 8B 33</v>
      </c>
      <c r="I143" s="1" t="str">
        <f ca="1">OFFSET(INDIRECT(ADDRESS(MATCH(Table2[[#This Row],[Type]],Table2[Titel],0),2)),5,0)</f>
        <v>0500</v>
      </c>
      <c r="J143" s="1" t="b">
        <f t="shared" si="4"/>
        <v>0</v>
      </c>
      <c r="K143" s="1" t="str">
        <f ca="1">LEFT(Table2[[#This Row],[VarType:]],2)</f>
        <v>05</v>
      </c>
      <c r="L143" s="1" t="b">
        <f ca="1">HEX2DEC(Table2[[#This Row],[VarType:]])&gt;=HEX2DEC(VT_Stuff!$C$37)</f>
        <v>0</v>
      </c>
    </row>
    <row r="144" spans="1:12" hidden="1" x14ac:dyDescent="0.55000000000000004">
      <c r="A144" s="3" t="s">
        <v>38</v>
      </c>
      <c r="B144" s="3" t="s">
        <v>76</v>
      </c>
      <c r="C144" s="1" t="str">
        <f>IF(MOD(ROW(),6 )= 2,Table2[[#This Row],[Titel]],C143)</f>
        <v>DoubleVar2</v>
      </c>
      <c r="D144" s="1" t="str">
        <f>VLOOKUP(Table2[[#This Row],[Type]],Table2[[Titel]:[Values]],2,FALSE)</f>
        <v>1.10505332448475E+23</v>
      </c>
      <c r="E144" s="1" t="str">
        <f ca="1">OFFSET(INDIRECT(ADDRESS(MATCH(Table2[[#This Row],[Type]],Table2[Titel],0),2)),2,0)</f>
        <v>0500 0000 0000 0000 338B 2B8E 8166 B744</v>
      </c>
      <c r="F144" s="1" t="s">
        <v>131</v>
      </c>
      <c r="G144" s="1" t="str">
        <f ca="1">OFFSET(INDIRECT(ADDRESS(MATCH(Table2[[#This Row],[Type]],Table2[Titel],0),2)),3,0)</f>
        <v>00 00 00 00 00 00</v>
      </c>
      <c r="H144" s="1" t="str">
        <f ca="1">OFFSET(INDIRECT(ADDRESS(MATCH(Table2[[#This Row],[Type]],Table2[Titel],0),2)),4,0)</f>
        <v>44 B7 66 81 8E 2B 8B 33</v>
      </c>
      <c r="I144" s="1" t="str">
        <f ca="1">OFFSET(INDIRECT(ADDRESS(MATCH(Table2[[#This Row],[Type]],Table2[Titel],0),2)),5,0)</f>
        <v>0500</v>
      </c>
      <c r="J144" s="1" t="b">
        <f t="shared" si="4"/>
        <v>0</v>
      </c>
      <c r="K144" s="1" t="str">
        <f ca="1">LEFT(Table2[[#This Row],[VarType:]],2)</f>
        <v>05</v>
      </c>
      <c r="L144" s="1" t="b">
        <f ca="1">HEX2DEC(Table2[[#This Row],[VarType:]])&gt;=HEX2DEC(VT_Stuff!$C$37)</f>
        <v>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80E8C-E15C-431E-9C34-1FC8BF4178DB}">
  <sheetPr codeName="Sheet4"/>
  <dimension ref="A1:O28"/>
  <sheetViews>
    <sheetView workbookViewId="0">
      <selection activeCell="M2" sqref="M2:O28"/>
    </sheetView>
  </sheetViews>
  <sheetFormatPr defaultRowHeight="14.4" x14ac:dyDescent="0.55000000000000004"/>
  <cols>
    <col min="1" max="1" width="9.734375" bestFit="1" customWidth="1"/>
    <col min="12" max="12" width="20.41796875" customWidth="1"/>
    <col min="15" max="15" width="53.3671875" customWidth="1"/>
  </cols>
  <sheetData>
    <row r="1" spans="1:15" x14ac:dyDescent="0.55000000000000004">
      <c r="A1" t="s">
        <v>190</v>
      </c>
      <c r="B1" t="s">
        <v>83</v>
      </c>
      <c r="D1" t="s">
        <v>183</v>
      </c>
      <c r="E1" t="s">
        <v>84</v>
      </c>
      <c r="F1" t="s">
        <v>203</v>
      </c>
      <c r="G1" t="s">
        <v>188</v>
      </c>
      <c r="H1" t="s">
        <v>193</v>
      </c>
      <c r="I1" t="s">
        <v>195</v>
      </c>
    </row>
    <row r="2" spans="1:15" x14ac:dyDescent="0.55000000000000004">
      <c r="A2" t="s">
        <v>191</v>
      </c>
      <c r="B2" t="s">
        <v>198</v>
      </c>
      <c r="D2" t="s">
        <v>200</v>
      </c>
      <c r="E2" t="s">
        <v>189</v>
      </c>
      <c r="F2" t="b">
        <v>1</v>
      </c>
      <c r="G2" t="str">
        <f>FORMATPY("\t{0} As {1}",Params[[#This Row],[Name]],Params[[#This Row],[Type]])</f>
        <v xml:space="preserve">	memoryBlock As Memory</v>
      </c>
      <c r="H2" t="str">
        <f>FORMATPY("ByVal {0} As {1}",Params[[#This Row],[Name]],Params[[#This Row],[Type]])</f>
        <v>ByVal memoryBlock As Memory</v>
      </c>
      <c r="I2" t="str">
        <f>FORMATPY("\t{1}this.{0} = {0}",Params[[#This Row],[Name]],IF(Params[[#This Row],[IsObject]],"Set ",""))</f>
        <v xml:space="preserve">	Set this.memoryBlock = memoryBlock</v>
      </c>
      <c r="K2" s="6" t="s">
        <v>196</v>
      </c>
      <c r="L2" s="6"/>
      <c r="M2" s="6" t="str">
        <f>FORMATPY(TypeMask,TypeName,_xlfn.TEXTJOIN(CHAR(10),TRUE,Params[TypeDecl]))</f>
        <v>Private Type VariableDefinition
	memoryBlock As Memory
	flags As VARKIND
End Type
Private this As VariableDefinition</v>
      </c>
      <c r="N2" s="6"/>
      <c r="O2" s="6"/>
    </row>
    <row r="3" spans="1:15" x14ac:dyDescent="0.55000000000000004">
      <c r="A3" t="s">
        <v>192</v>
      </c>
      <c r="B3" t="s">
        <v>199</v>
      </c>
      <c r="D3" t="s">
        <v>201</v>
      </c>
      <c r="E3" t="s">
        <v>202</v>
      </c>
      <c r="G3" t="str">
        <f>FORMATPY("\t{0} As {1}",Params[[#This Row],[Name]],Params[[#This Row],[Type]])</f>
        <v xml:space="preserve">	flags As VARKIND</v>
      </c>
      <c r="H3" t="str">
        <f>FORMATPY("ByVal {0} As {1}",Params[[#This Row],[Name]],Params[[#This Row],[Type]])</f>
        <v>ByVal flags As VARKIND</v>
      </c>
      <c r="I3" t="str">
        <f>FORMATPY("\t{1}this.{0} = {0}",Params[[#This Row],[Name]],IF(Params[[#This Row],[IsObject]],"Set ",""))</f>
        <v xml:space="preserve">	this.flags = flags</v>
      </c>
      <c r="K3" s="6"/>
      <c r="L3" s="6"/>
      <c r="M3" s="6"/>
      <c r="N3" s="6"/>
      <c r="O3" s="6"/>
    </row>
    <row r="4" spans="1:15" x14ac:dyDescent="0.55000000000000004">
      <c r="D4" s="1" t="str">
        <f>_xlfn.TEXTJOIN(", ",TRUE,Params[Name])</f>
        <v>memoryBlock, flags</v>
      </c>
      <c r="G4" s="1" t="str">
        <f>_xlfn.TEXTJOIN(CHAR(13),TRUE,Params[TypeDecl])</f>
        <v xml:space="preserve">	memoryBlock As Memory_x000D_	flags As VARKIND</v>
      </c>
      <c r="H4" s="1" t="str">
        <f>_xlfn.TEXTJOIN(", ",TRUE,Params[Signature])</f>
        <v>ByVal memoryBlock As Memory, ByVal flags As VARKIND</v>
      </c>
      <c r="I4" s="1" t="str">
        <f>_xlfn.TEXTJOIN(CHAR(13),TRUE,Params[AssignDecl])</f>
        <v xml:space="preserve">	Set this.memoryBlock = memoryBlock_x000D_	this.flags = flags</v>
      </c>
      <c r="K4" s="6"/>
      <c r="L4" s="6"/>
      <c r="M4" s="6"/>
      <c r="N4" s="6"/>
      <c r="O4" s="6"/>
    </row>
    <row r="5" spans="1:15" x14ac:dyDescent="0.55000000000000004">
      <c r="K5" s="6"/>
      <c r="L5" s="6"/>
      <c r="M5" s="6"/>
      <c r="N5" s="6"/>
      <c r="O5" s="6"/>
    </row>
    <row r="6" spans="1:15" x14ac:dyDescent="0.55000000000000004">
      <c r="K6" s="6"/>
      <c r="L6" s="6"/>
      <c r="M6" s="6"/>
      <c r="N6" s="6"/>
      <c r="O6" s="6"/>
    </row>
    <row r="7" spans="1:15" x14ac:dyDescent="0.55000000000000004">
      <c r="K7" s="6"/>
      <c r="L7" s="6"/>
      <c r="M7" s="6"/>
      <c r="N7" s="6"/>
      <c r="O7" s="6"/>
    </row>
    <row r="8" spans="1:15" x14ac:dyDescent="0.55000000000000004">
      <c r="K8" s="6"/>
      <c r="L8" s="6"/>
      <c r="M8" s="6"/>
      <c r="N8" s="6"/>
      <c r="O8" s="6"/>
    </row>
    <row r="9" spans="1:15" x14ac:dyDescent="0.55000000000000004">
      <c r="K9" s="6"/>
      <c r="L9" s="6"/>
      <c r="M9" s="6"/>
      <c r="N9" s="6"/>
      <c r="O9" s="6"/>
    </row>
    <row r="10" spans="1:15" x14ac:dyDescent="0.55000000000000004">
      <c r="K10" s="6" t="s">
        <v>194</v>
      </c>
      <c r="L10" s="6"/>
      <c r="M10" s="6" t="str">
        <f>FORMATPY(ConstructorMask,Params[[#Totals],[Signature]],ClassName,Params[[#Totals],[Name]],Params[[#Totals],[AssignDecl]])</f>
        <v>Public Function Create(ByVal memoryBlock As Memory, ByVal flags As VARKIND) As Variable
    With New Variable
        Set Create = .Self
        .Init memoryBlock, flags
    End With
End Function
Friend Property Get Self() As Variable
    Set Self = Me
End Property
Friend Sub Init(ByVal memoryBlock As Memory, ByVal flags As VARKIND)
	Set this.memoryBlock = memoryBlock_x000D_	this.flags = flags
End Sub</v>
      </c>
      <c r="N10" s="6"/>
      <c r="O10" s="6"/>
    </row>
    <row r="11" spans="1:15" x14ac:dyDescent="0.55000000000000004">
      <c r="K11" s="6"/>
      <c r="L11" s="6"/>
      <c r="M11" s="6"/>
      <c r="N11" s="6"/>
      <c r="O11" s="6"/>
    </row>
    <row r="12" spans="1:15" x14ac:dyDescent="0.55000000000000004">
      <c r="K12" s="6"/>
      <c r="L12" s="6"/>
      <c r="M12" s="6"/>
      <c r="N12" s="6"/>
      <c r="O12" s="6"/>
    </row>
    <row r="13" spans="1:15" x14ac:dyDescent="0.55000000000000004">
      <c r="K13" s="6"/>
      <c r="L13" s="6"/>
      <c r="M13" s="6"/>
      <c r="N13" s="6"/>
      <c r="O13" s="6"/>
    </row>
    <row r="14" spans="1:15" x14ac:dyDescent="0.55000000000000004">
      <c r="K14" s="6"/>
      <c r="L14" s="6"/>
      <c r="M14" s="6"/>
      <c r="N14" s="6"/>
      <c r="O14" s="6"/>
    </row>
    <row r="15" spans="1:15" x14ac:dyDescent="0.55000000000000004">
      <c r="K15" s="6"/>
      <c r="L15" s="6"/>
      <c r="M15" s="6"/>
      <c r="N15" s="6"/>
      <c r="O15" s="6"/>
    </row>
    <row r="16" spans="1:15" x14ac:dyDescent="0.55000000000000004">
      <c r="K16" s="6"/>
      <c r="L16" s="6"/>
      <c r="M16" s="6"/>
      <c r="N16" s="6"/>
      <c r="O16" s="6"/>
    </row>
    <row r="17" spans="11:15" x14ac:dyDescent="0.55000000000000004">
      <c r="K17" s="6"/>
      <c r="L17" s="6"/>
      <c r="M17" s="6"/>
      <c r="N17" s="6"/>
      <c r="O17" s="6"/>
    </row>
    <row r="18" spans="11:15" x14ac:dyDescent="0.55000000000000004">
      <c r="K18" s="6"/>
      <c r="L18" s="6"/>
      <c r="M18" s="6"/>
      <c r="N18" s="6"/>
      <c r="O18" s="6"/>
    </row>
    <row r="19" spans="11:15" x14ac:dyDescent="0.55000000000000004">
      <c r="K19" s="6"/>
      <c r="L19" s="6"/>
      <c r="M19" s="6"/>
      <c r="N19" s="6"/>
      <c r="O19" s="6"/>
    </row>
    <row r="20" spans="11:15" x14ac:dyDescent="0.55000000000000004">
      <c r="K20" s="6"/>
      <c r="L20" s="6"/>
      <c r="M20" s="6"/>
      <c r="N20" s="6"/>
      <c r="O20" s="6"/>
    </row>
    <row r="21" spans="11:15" x14ac:dyDescent="0.55000000000000004">
      <c r="K21" s="6"/>
      <c r="L21" s="6"/>
      <c r="M21" s="6"/>
      <c r="N21" s="6"/>
      <c r="O21" s="6"/>
    </row>
    <row r="22" spans="11:15" x14ac:dyDescent="0.55000000000000004">
      <c r="K22" s="6"/>
      <c r="L22" s="6"/>
      <c r="M22" s="6"/>
      <c r="N22" s="6"/>
      <c r="O22" s="6"/>
    </row>
    <row r="23" spans="11:15" x14ac:dyDescent="0.55000000000000004">
      <c r="K23" s="6"/>
      <c r="L23" s="6"/>
      <c r="M23" s="6"/>
      <c r="N23" s="6"/>
      <c r="O23" s="6"/>
    </row>
    <row r="24" spans="11:15" x14ac:dyDescent="0.55000000000000004">
      <c r="K24" s="6"/>
      <c r="L24" s="6"/>
      <c r="M24" s="6"/>
      <c r="N24" s="6"/>
      <c r="O24" s="6"/>
    </row>
    <row r="25" spans="11:15" x14ac:dyDescent="0.55000000000000004">
      <c r="K25" s="6"/>
      <c r="L25" s="6"/>
      <c r="M25" s="6"/>
      <c r="N25" s="6"/>
      <c r="O25" s="6"/>
    </row>
    <row r="26" spans="11:15" x14ac:dyDescent="0.55000000000000004">
      <c r="K26" s="6"/>
      <c r="L26" s="6"/>
      <c r="M26" s="6"/>
      <c r="N26" s="6"/>
      <c r="O26" s="6"/>
    </row>
    <row r="27" spans="11:15" x14ac:dyDescent="0.55000000000000004">
      <c r="K27" s="6"/>
      <c r="L27" s="6"/>
      <c r="M27" s="6"/>
      <c r="N27" s="6"/>
      <c r="O27" s="6"/>
    </row>
    <row r="28" spans="11:15" x14ac:dyDescent="0.55000000000000004">
      <c r="K28" s="6"/>
      <c r="L28" s="6"/>
      <c r="M28" s="6"/>
      <c r="N28" s="6"/>
      <c r="O28" s="6"/>
    </row>
  </sheetData>
  <mergeCells count="4">
    <mergeCell ref="K2:L9"/>
    <mergeCell ref="M2:O9"/>
    <mergeCell ref="K10:L28"/>
    <mergeCell ref="M10:O28"/>
  </mergeCell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1ED98-795C-404D-ACA1-94FDEDBDB2C8}">
  <sheetPr codeName="Sheet5"/>
  <dimension ref="A1"/>
  <sheetViews>
    <sheetView workbookViewId="0"/>
  </sheetViews>
  <sheetFormatPr defaultRowHeight="14.4" x14ac:dyDescent="0.5500000000000000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DE623-E518-4B7D-AB91-F99691903D8A}">
  <sheetPr codeName="Sheet3"/>
  <dimension ref="A1:W49"/>
  <sheetViews>
    <sheetView topLeftCell="C1" workbookViewId="0">
      <selection activeCell="I2" sqref="I2:K38"/>
    </sheetView>
  </sheetViews>
  <sheetFormatPr defaultRowHeight="14.4" x14ac:dyDescent="0.55000000000000004"/>
  <cols>
    <col min="1" max="1" width="24.5234375" bestFit="1" customWidth="1"/>
    <col min="4" max="4" width="24.1015625" customWidth="1"/>
    <col min="11" max="11" width="47.7890625" customWidth="1"/>
  </cols>
  <sheetData>
    <row r="1" spans="1:23" ht="57.6" x14ac:dyDescent="0.55000000000000004">
      <c r="A1" t="s">
        <v>182</v>
      </c>
      <c r="B1" t="s">
        <v>183</v>
      </c>
      <c r="C1" t="s">
        <v>184</v>
      </c>
      <c r="D1" t="s">
        <v>26</v>
      </c>
      <c r="E1" t="s">
        <v>187</v>
      </c>
      <c r="F1" t="s">
        <v>257</v>
      </c>
      <c r="G1" t="s">
        <v>285</v>
      </c>
      <c r="I1" s="5" t="s">
        <v>197</v>
      </c>
      <c r="M1" t="s">
        <v>83</v>
      </c>
      <c r="N1" t="s">
        <v>204</v>
      </c>
      <c r="O1" t="s">
        <v>205</v>
      </c>
      <c r="P1" t="s">
        <v>206</v>
      </c>
      <c r="Q1" t="s">
        <v>207</v>
      </c>
      <c r="T1" t="s">
        <v>83</v>
      </c>
      <c r="U1" t="s">
        <v>282</v>
      </c>
      <c r="V1" t="s">
        <v>283</v>
      </c>
      <c r="W1" t="s">
        <v>284</v>
      </c>
    </row>
    <row r="2" spans="1:23" x14ac:dyDescent="0.55000000000000004">
      <c r="A2" t="s">
        <v>147</v>
      </c>
      <c r="B2" t="str">
        <f>MID(Table3[[#This Row],[Raw]],7,LEN(Table3[[#This Row],[Raw]])-16)</f>
        <v>EMPTY</v>
      </c>
      <c r="C2" t="str">
        <f>MID(Table3[[#This Row],[Raw]],LEN(Table3[[#This Row],[Raw]])-4,4)</f>
        <v>0000</v>
      </c>
      <c r="D2" t="str">
        <f>HEX2BIN(LEFT(Table3[[#This Row],[HexVal]],2),8) &amp; " " &amp; HEX2BIN(RIGHT(Table3[[#This Row],[HexVal]],2),8)</f>
        <v>00000000 00000000</v>
      </c>
      <c r="E2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VT_EMPTY = &amp;H0000'vbEmpty</v>
      </c>
      <c r="F2" s="1" t="str">
        <f>VLOOKUP("VT_"&amp;Table3[[#This Row],[Name]],Table27[],2,FALSE)</f>
        <v>X</v>
      </c>
      <c r="G2" s="1" t="str">
        <f>IFERROR(INDEX(Table7[Value],MATCH(Table3[[#This Row],[HexVal]],Table7[Hex],0)),"")</f>
        <v>vbEmpty</v>
      </c>
      <c r="I2" s="6" t="str">
        <f>FORMATPY(I1,"VARENUM",Table3[[#Totals],[Decl]])</f>
        <v>Public Enum VARENUM
	VT_EMPTY = &amp;H0000'vbEmpty_x000D_	VT_NULL = &amp;H0001'vbNull_x000D_	VT_I2 = &amp;H0002'vbInteger_x000D_	VT_I4 = &amp;H0003'vbLong_x000D_	VT_R4 = &amp;H0004'vbSingle_x000D_	VT_R8 = &amp;H0005'vbDouble_x000D_	VT_CY = &amp;H0006'vbCurrency_x000D_	VT_DATE = &amp;H0007'vbDate_x000D_	VT_BSTR = &amp;H0008'vbString_x000D_	VT_DISPATCH = &amp;H0009'vbObject_x000D_	VT_ERROR = &amp;H000A'vbError_x000D_	VT_BOOL = &amp;H000B'vbBoolean_x000D_	VT_VARIANT = &amp;H000C'vbVariant_x000D_	VT_UNKNOWN = &amp;H000D'vbDataObject_x000D_	VT_DECIMAL = &amp;H000E'vbDecimal_x000D_	VT_I1 = &amp;H0010_x000D_	VT_UI1 = &amp;H0011'vbByte_x000D_	VT_UI2 = &amp;H0012_x000D_	VT_UI4 = &amp;H0013_x000D_	'VT_I8 = &amp;H0014'vbLongLong_x000D_	'VT_UI8 = &amp;H0015_x000D_	VT_INT = &amp;H0016_x000D_	VT_UINT = &amp;H0017_x000D_	'VT_VOID = &amp;H0018_x000D_	'VT_HRESULT = &amp;H0019_x000D_	'VT_PTR = &amp;H001A_x000D_	'VT_SAFEARRAY = &amp;H001B_x000D_	'VT_CARRAY = &amp;H001C_x000D_	'VT_USERDEFINED = &amp;H001D_x000D_	'VT_LPSTR = &amp;H001E_x000D_	'VT_LPWSTR = &amp;H001F_x000D_	VT_RECORD = &amp;H0024'vbUserDefinedType_x000D_	'VT_INT_PTR = &amp;H0025_x000D_	'VT_UINT_PTR = &amp;H0026_x000D_	VT_ARRAY = &amp;H2000'vbArray_x000D_	VT_BYREF = &amp;H4000
End Enum</v>
      </c>
      <c r="J2" s="6"/>
      <c r="K2" s="6"/>
      <c r="M2" t="s">
        <v>208</v>
      </c>
      <c r="N2" t="s">
        <v>209</v>
      </c>
      <c r="T2" t="s">
        <v>258</v>
      </c>
      <c r="U2">
        <v>0</v>
      </c>
      <c r="V2" t="s">
        <v>259</v>
      </c>
      <c r="W2" t="str">
        <f>DEC2HEX(Table7[[#This Row],[Num]],4)</f>
        <v>0000</v>
      </c>
    </row>
    <row r="3" spans="1:23" x14ac:dyDescent="0.55000000000000004">
      <c r="A3" t="s">
        <v>148</v>
      </c>
      <c r="B3" t="str">
        <f>MID(Table3[[#This Row],[Raw]],7,LEN(Table3[[#This Row],[Raw]])-16)</f>
        <v>NULL</v>
      </c>
      <c r="C3" t="str">
        <f>MID(Table3[[#This Row],[Raw]],LEN(Table3[[#This Row],[Raw]])-4,4)</f>
        <v>0001</v>
      </c>
      <c r="D3" t="str">
        <f>HEX2BIN(LEFT(Table3[[#This Row],[HexVal]],2),8) &amp; " " &amp; HEX2BIN(RIGHT(Table3[[#This Row],[HexVal]],2),8)</f>
        <v>00000000 00000001</v>
      </c>
      <c r="E3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VT_NULL = &amp;H0001'vbNull</v>
      </c>
      <c r="F3" s="1" t="str">
        <f>VLOOKUP("VT_"&amp;Table3[[#This Row],[Name]],Table27[],2,FALSE)</f>
        <v>X</v>
      </c>
      <c r="G3" s="1" t="str">
        <f>IFERROR(INDEX(Table7[Value],MATCH(Table3[[#This Row],[HexVal]],Table7[Hex],0)),"")</f>
        <v>vbNull</v>
      </c>
      <c r="I3" s="6"/>
      <c r="J3" s="6"/>
      <c r="K3" s="6"/>
      <c r="M3" t="s">
        <v>210</v>
      </c>
      <c r="P3" t="s">
        <v>209</v>
      </c>
      <c r="T3" t="s">
        <v>260</v>
      </c>
      <c r="U3">
        <v>1</v>
      </c>
      <c r="V3" t="s">
        <v>261</v>
      </c>
      <c r="W3" t="str">
        <f>DEC2HEX(Table7[[#This Row],[Num]],4)</f>
        <v>0001</v>
      </c>
    </row>
    <row r="4" spans="1:23" x14ac:dyDescent="0.55000000000000004">
      <c r="A4" t="s">
        <v>149</v>
      </c>
      <c r="B4" t="str">
        <f>MID(Table3[[#This Row],[Raw]],7,LEN(Table3[[#This Row],[Raw]])-16)</f>
        <v>I2</v>
      </c>
      <c r="C4" t="str">
        <f>MID(Table3[[#This Row],[Raw]],LEN(Table3[[#This Row],[Raw]])-4,4)</f>
        <v>0002</v>
      </c>
      <c r="D4" t="str">
        <f>HEX2BIN(LEFT(Table3[[#This Row],[HexVal]],2),8) &amp; " " &amp; HEX2BIN(RIGHT(Table3[[#This Row],[HexVal]],2),8)</f>
        <v>00000000 00000010</v>
      </c>
      <c r="E4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VT_I2 = &amp;H0002'vbInteger</v>
      </c>
      <c r="F4" s="1" t="str">
        <f>VLOOKUP("VT_"&amp;Table3[[#This Row],[Name]],Table27[],2,FALSE)</f>
        <v>X</v>
      </c>
      <c r="G4" s="1" t="str">
        <f>IFERROR(INDEX(Table7[Value],MATCH(Table3[[#This Row],[HexVal]],Table7[Hex],0)),"")</f>
        <v>vbInteger</v>
      </c>
      <c r="I4" s="6"/>
      <c r="J4" s="6"/>
      <c r="K4" s="6"/>
      <c r="M4" t="s">
        <v>211</v>
      </c>
      <c r="P4" t="s">
        <v>209</v>
      </c>
      <c r="T4" t="s">
        <v>13</v>
      </c>
      <c r="U4">
        <v>2</v>
      </c>
      <c r="V4" t="s">
        <v>55</v>
      </c>
      <c r="W4" t="str">
        <f>DEC2HEX(Table7[[#This Row],[Num]],4)</f>
        <v>0002</v>
      </c>
    </row>
    <row r="5" spans="1:23" x14ac:dyDescent="0.55000000000000004">
      <c r="A5" t="s">
        <v>150</v>
      </c>
      <c r="B5" t="str">
        <f>MID(Table3[[#This Row],[Raw]],7,LEN(Table3[[#This Row],[Raw]])-16)</f>
        <v>I4</v>
      </c>
      <c r="C5" t="str">
        <f>MID(Table3[[#This Row],[Raw]],LEN(Table3[[#This Row],[Raw]])-4,4)</f>
        <v>0003</v>
      </c>
      <c r="D5" t="str">
        <f>HEX2BIN(LEFT(Table3[[#This Row],[HexVal]],2),8) &amp; " " &amp; HEX2BIN(RIGHT(Table3[[#This Row],[HexVal]],2),8)</f>
        <v>00000000 00000011</v>
      </c>
      <c r="E5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VT_I4 = &amp;H0003'vbLong</v>
      </c>
      <c r="F5" s="1" t="str">
        <f>VLOOKUP("VT_"&amp;Table3[[#This Row],[Name]],Table27[],2,FALSE)</f>
        <v>X</v>
      </c>
      <c r="G5" s="1" t="str">
        <f>IFERROR(INDEX(Table7[Value],MATCH(Table3[[#This Row],[HexVal]],Table7[Hex],0)),"")</f>
        <v>vbLong</v>
      </c>
      <c r="I5" s="6"/>
      <c r="J5" s="6"/>
      <c r="K5" s="6"/>
      <c r="M5" t="s">
        <v>212</v>
      </c>
      <c r="N5" t="s">
        <v>209</v>
      </c>
      <c r="O5" t="s">
        <v>209</v>
      </c>
      <c r="P5" t="s">
        <v>209</v>
      </c>
      <c r="Q5" t="s">
        <v>209</v>
      </c>
      <c r="T5" t="s">
        <v>14</v>
      </c>
      <c r="U5">
        <v>3</v>
      </c>
      <c r="V5" t="s">
        <v>262</v>
      </c>
      <c r="W5" t="str">
        <f>DEC2HEX(Table7[[#This Row],[Num]],4)</f>
        <v>0003</v>
      </c>
    </row>
    <row r="6" spans="1:23" x14ac:dyDescent="0.55000000000000004">
      <c r="A6" t="s">
        <v>151</v>
      </c>
      <c r="B6" t="str">
        <f>MID(Table3[[#This Row],[Raw]],7,LEN(Table3[[#This Row],[Raw]])-16)</f>
        <v>R4</v>
      </c>
      <c r="C6" t="str">
        <f>MID(Table3[[#This Row],[Raw]],LEN(Table3[[#This Row],[Raw]])-4,4)</f>
        <v>0004</v>
      </c>
      <c r="D6" t="str">
        <f>HEX2BIN(LEFT(Table3[[#This Row],[HexVal]],2),8) &amp; " " &amp; HEX2BIN(RIGHT(Table3[[#This Row],[HexVal]],2),8)</f>
        <v>00000000 00000100</v>
      </c>
      <c r="E6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VT_R4 = &amp;H0004'vbSingle</v>
      </c>
      <c r="F6" s="1" t="str">
        <f>VLOOKUP("VT_"&amp;Table3[[#This Row],[Name]],Table27[],2,FALSE)</f>
        <v>X</v>
      </c>
      <c r="G6" s="1" t="str">
        <f>IFERROR(INDEX(Table7[Value],MATCH(Table3[[#This Row],[HexVal]],Table7[Hex],0)),"")</f>
        <v>vbSingle</v>
      </c>
      <c r="I6" s="6"/>
      <c r="J6" s="6"/>
      <c r="K6" s="6"/>
      <c r="M6" t="s">
        <v>213</v>
      </c>
      <c r="N6" t="s">
        <v>209</v>
      </c>
      <c r="O6" t="s">
        <v>209</v>
      </c>
      <c r="P6" t="s">
        <v>209</v>
      </c>
      <c r="Q6" t="s">
        <v>209</v>
      </c>
      <c r="T6" t="s">
        <v>15</v>
      </c>
      <c r="U6">
        <v>4</v>
      </c>
      <c r="V6" t="s">
        <v>263</v>
      </c>
      <c r="W6" t="str">
        <f>DEC2HEX(Table7[[#This Row],[Num]],4)</f>
        <v>0004</v>
      </c>
    </row>
    <row r="7" spans="1:23" x14ac:dyDescent="0.55000000000000004">
      <c r="A7" t="s">
        <v>152</v>
      </c>
      <c r="B7" t="str">
        <f>MID(Table3[[#This Row],[Raw]],7,LEN(Table3[[#This Row],[Raw]])-16)</f>
        <v>R8</v>
      </c>
      <c r="C7" t="str">
        <f>MID(Table3[[#This Row],[Raw]],LEN(Table3[[#This Row],[Raw]])-4,4)</f>
        <v>0005</v>
      </c>
      <c r="D7" t="str">
        <f>HEX2BIN(LEFT(Table3[[#This Row],[HexVal]],2),8) &amp; " " &amp; HEX2BIN(RIGHT(Table3[[#This Row],[HexVal]],2),8)</f>
        <v>00000000 00000101</v>
      </c>
      <c r="E7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VT_R8 = &amp;H0005'vbDouble</v>
      </c>
      <c r="F7" s="1" t="str">
        <f>VLOOKUP("VT_"&amp;Table3[[#This Row],[Name]],Table27[],2,FALSE)</f>
        <v>X</v>
      </c>
      <c r="G7" s="1" t="str">
        <f>IFERROR(INDEX(Table7[Value],MATCH(Table3[[#This Row],[HexVal]],Table7[Hex],0)),"")</f>
        <v>vbDouble</v>
      </c>
      <c r="I7" s="6"/>
      <c r="J7" s="6"/>
      <c r="K7" s="6"/>
      <c r="M7" t="s">
        <v>214</v>
      </c>
      <c r="T7" t="s">
        <v>16</v>
      </c>
      <c r="U7">
        <v>5</v>
      </c>
      <c r="V7" t="s">
        <v>264</v>
      </c>
      <c r="W7" t="str">
        <f>DEC2HEX(Table7[[#This Row],[Num]],4)</f>
        <v>0005</v>
      </c>
    </row>
    <row r="8" spans="1:23" x14ac:dyDescent="0.55000000000000004">
      <c r="A8" t="s">
        <v>153</v>
      </c>
      <c r="B8" t="str">
        <f>MID(Table3[[#This Row],[Raw]],7,LEN(Table3[[#This Row],[Raw]])-16)</f>
        <v>CY</v>
      </c>
      <c r="C8" t="str">
        <f>MID(Table3[[#This Row],[Raw]],LEN(Table3[[#This Row],[Raw]])-4,4)</f>
        <v>0006</v>
      </c>
      <c r="D8" t="str">
        <f>HEX2BIN(LEFT(Table3[[#This Row],[HexVal]],2),8) &amp; " " &amp; HEX2BIN(RIGHT(Table3[[#This Row],[HexVal]],2),8)</f>
        <v>00000000 00000110</v>
      </c>
      <c r="E8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VT_CY = &amp;H0006'vbCurrency</v>
      </c>
      <c r="F8" s="1" t="str">
        <f>VLOOKUP("VT_"&amp;Table3[[#This Row],[Name]],Table27[],2,FALSE)</f>
        <v>X</v>
      </c>
      <c r="G8" s="1" t="str">
        <f>IFERROR(INDEX(Table7[Value],MATCH(Table3[[#This Row],[HexVal]],Table7[Hex],0)),"")</f>
        <v>vbCurrency</v>
      </c>
      <c r="I8" s="6"/>
      <c r="J8" s="6"/>
      <c r="K8" s="6"/>
      <c r="M8" t="s">
        <v>215</v>
      </c>
      <c r="N8" t="s">
        <v>209</v>
      </c>
      <c r="T8" t="s">
        <v>17</v>
      </c>
      <c r="U8">
        <v>6</v>
      </c>
      <c r="V8" t="s">
        <v>265</v>
      </c>
      <c r="W8" t="str">
        <f>DEC2HEX(Table7[[#This Row],[Num]],4)</f>
        <v>0006</v>
      </c>
    </row>
    <row r="9" spans="1:23" x14ac:dyDescent="0.55000000000000004">
      <c r="A9" t="s">
        <v>154</v>
      </c>
      <c r="B9" t="str">
        <f>MID(Table3[[#This Row],[Raw]],7,LEN(Table3[[#This Row],[Raw]])-16)</f>
        <v>DATE</v>
      </c>
      <c r="C9" t="str">
        <f>MID(Table3[[#This Row],[Raw]],LEN(Table3[[#This Row],[Raw]])-4,4)</f>
        <v>0007</v>
      </c>
      <c r="D9" t="str">
        <f>HEX2BIN(LEFT(Table3[[#This Row],[HexVal]],2),8) &amp; " " &amp; HEX2BIN(RIGHT(Table3[[#This Row],[HexVal]],2),8)</f>
        <v>00000000 00000111</v>
      </c>
      <c r="E9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VT_DATE = &amp;H0007'vbDate</v>
      </c>
      <c r="F9" s="1" t="str">
        <f>VLOOKUP("VT_"&amp;Table3[[#This Row],[Name]],Table27[],2,FALSE)</f>
        <v>X</v>
      </c>
      <c r="G9" s="1" t="str">
        <f>IFERROR(INDEX(Table7[Value],MATCH(Table3[[#This Row],[HexVal]],Table7[Hex],0)),"")</f>
        <v>vbDate</v>
      </c>
      <c r="I9" s="6"/>
      <c r="J9" s="6"/>
      <c r="K9" s="6"/>
      <c r="M9" t="s">
        <v>216</v>
      </c>
      <c r="O9" t="s">
        <v>209</v>
      </c>
      <c r="T9" t="s">
        <v>18</v>
      </c>
      <c r="U9">
        <v>7</v>
      </c>
      <c r="V9" t="s">
        <v>266</v>
      </c>
      <c r="W9" t="str">
        <f>DEC2HEX(Table7[[#This Row],[Num]],4)</f>
        <v>0007</v>
      </c>
    </row>
    <row r="10" spans="1:23" x14ac:dyDescent="0.55000000000000004">
      <c r="A10" t="s">
        <v>155</v>
      </c>
      <c r="B10" t="str">
        <f>MID(Table3[[#This Row],[Raw]],7,LEN(Table3[[#This Row],[Raw]])-16)</f>
        <v>BSTR</v>
      </c>
      <c r="C10" t="str">
        <f>MID(Table3[[#This Row],[Raw]],LEN(Table3[[#This Row],[Raw]])-4,4)</f>
        <v>0008</v>
      </c>
      <c r="D10" t="str">
        <f>HEX2BIN(LEFT(Table3[[#This Row],[HexVal]],2),8) &amp; " " &amp; HEX2BIN(RIGHT(Table3[[#This Row],[HexVal]],2),8)</f>
        <v>00000000 00001000</v>
      </c>
      <c r="E10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VT_BSTR = &amp;H0008'vbString</v>
      </c>
      <c r="F10" s="1" t="str">
        <f>VLOOKUP("VT_"&amp;Table3[[#This Row],[Name]],Table27[],2,FALSE)</f>
        <v>X</v>
      </c>
      <c r="G10" s="1" t="str">
        <f>IFERROR(INDEX(Table7[Value],MATCH(Table3[[#This Row],[HexVal]],Table7[Hex],0)),"")</f>
        <v>vbString</v>
      </c>
      <c r="I10" s="6"/>
      <c r="J10" s="6"/>
      <c r="K10" s="6"/>
      <c r="M10" t="s">
        <v>217</v>
      </c>
      <c r="P10" t="s">
        <v>209</v>
      </c>
      <c r="T10" t="s">
        <v>19</v>
      </c>
      <c r="U10">
        <v>8</v>
      </c>
      <c r="V10" t="s">
        <v>64</v>
      </c>
      <c r="W10" t="str">
        <f>DEC2HEX(Table7[[#This Row],[Num]],4)</f>
        <v>0008</v>
      </c>
    </row>
    <row r="11" spans="1:23" x14ac:dyDescent="0.55000000000000004">
      <c r="A11" t="s">
        <v>156</v>
      </c>
      <c r="B11" t="str">
        <f>MID(Table3[[#This Row],[Raw]],7,LEN(Table3[[#This Row],[Raw]])-16)</f>
        <v>DISPATCH</v>
      </c>
      <c r="C11" t="str">
        <f>MID(Table3[[#This Row],[Raw]],LEN(Table3[[#This Row],[Raw]])-4,4)</f>
        <v>0009</v>
      </c>
      <c r="D11" t="str">
        <f>HEX2BIN(LEFT(Table3[[#This Row],[HexVal]],2),8) &amp; " " &amp; HEX2BIN(RIGHT(Table3[[#This Row],[HexVal]],2),8)</f>
        <v>00000000 00001001</v>
      </c>
      <c r="E11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VT_DISPATCH = &amp;H0009'vbObject</v>
      </c>
      <c r="F11" s="1" t="str">
        <f>VLOOKUP("VT_"&amp;Table3[[#This Row],[Name]],Table27[],2,FALSE)</f>
        <v>X</v>
      </c>
      <c r="G11" s="1" t="str">
        <f>IFERROR(INDEX(Table7[Value],MATCH(Table3[[#This Row],[HexVal]],Table7[Hex],0)),"")</f>
        <v>vbObject</v>
      </c>
      <c r="I11" s="6"/>
      <c r="J11" s="6"/>
      <c r="K11" s="6"/>
      <c r="M11" t="s">
        <v>218</v>
      </c>
      <c r="P11" t="s">
        <v>209</v>
      </c>
      <c r="T11" t="s">
        <v>267</v>
      </c>
      <c r="U11">
        <v>9</v>
      </c>
      <c r="V11" t="s">
        <v>268</v>
      </c>
      <c r="W11" t="str">
        <f>DEC2HEX(Table7[[#This Row],[Num]],4)</f>
        <v>0009</v>
      </c>
    </row>
    <row r="12" spans="1:23" x14ac:dyDescent="0.55000000000000004">
      <c r="A12" t="s">
        <v>157</v>
      </c>
      <c r="B12" t="str">
        <f>MID(Table3[[#This Row],[Raw]],7,LEN(Table3[[#This Row],[Raw]])-16)</f>
        <v>ERROR</v>
      </c>
      <c r="C12" t="str">
        <f>MID(Table3[[#This Row],[Raw]],LEN(Table3[[#This Row],[Raw]])-4,4)</f>
        <v>000A</v>
      </c>
      <c r="D12" t="str">
        <f>HEX2BIN(LEFT(Table3[[#This Row],[HexVal]],2),8) &amp; " " &amp; HEX2BIN(RIGHT(Table3[[#This Row],[HexVal]],2),8)</f>
        <v>00000000 00001010</v>
      </c>
      <c r="E12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VT_ERROR = &amp;H000A'vbError</v>
      </c>
      <c r="F12" s="1" t="str">
        <f>VLOOKUP("VT_"&amp;Table3[[#This Row],[Name]],Table27[],2,FALSE)</f>
        <v>X</v>
      </c>
      <c r="G12" s="1" t="str">
        <f>IFERROR(INDEX(Table7[Value],MATCH(Table3[[#This Row],[HexVal]],Table7[Hex],0)),"")</f>
        <v>vbError</v>
      </c>
      <c r="I12" s="6"/>
      <c r="J12" s="6"/>
      <c r="K12" s="6"/>
      <c r="M12" t="s">
        <v>219</v>
      </c>
      <c r="N12" t="s">
        <v>209</v>
      </c>
      <c r="O12" t="s">
        <v>209</v>
      </c>
      <c r="P12" t="s">
        <v>209</v>
      </c>
      <c r="Q12" t="s">
        <v>209</v>
      </c>
      <c r="T12" t="s">
        <v>269</v>
      </c>
      <c r="U12">
        <v>10</v>
      </c>
      <c r="V12" t="s">
        <v>270</v>
      </c>
      <c r="W12" t="str">
        <f>DEC2HEX(Table7[[#This Row],[Num]],4)</f>
        <v>000A</v>
      </c>
    </row>
    <row r="13" spans="1:23" x14ac:dyDescent="0.55000000000000004">
      <c r="A13" t="s">
        <v>158</v>
      </c>
      <c r="B13" t="str">
        <f>MID(Table3[[#This Row],[Raw]],7,LEN(Table3[[#This Row],[Raw]])-16)</f>
        <v>BOOL</v>
      </c>
      <c r="C13" t="str">
        <f>MID(Table3[[#This Row],[Raw]],LEN(Table3[[#This Row],[Raw]])-4,4)</f>
        <v>000B</v>
      </c>
      <c r="D13" t="str">
        <f>HEX2BIN(LEFT(Table3[[#This Row],[HexVal]],2),8) &amp; " " &amp; HEX2BIN(RIGHT(Table3[[#This Row],[HexVal]],2),8)</f>
        <v>00000000 00001011</v>
      </c>
      <c r="E13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VT_BOOL = &amp;H000B'vbBoolean</v>
      </c>
      <c r="F13" s="1" t="str">
        <f>VLOOKUP("VT_"&amp;Table3[[#This Row],[Name]],Table27[],2,FALSE)</f>
        <v>X</v>
      </c>
      <c r="G13" s="1" t="str">
        <f>IFERROR(INDEX(Table7[Value],MATCH(Table3[[#This Row],[HexVal]],Table7[Hex],0)),"")</f>
        <v>vbBoolean</v>
      </c>
      <c r="I13" s="6"/>
      <c r="J13" s="6"/>
      <c r="K13" s="6"/>
      <c r="M13" t="s">
        <v>220</v>
      </c>
      <c r="N13" t="s">
        <v>209</v>
      </c>
      <c r="O13" t="s">
        <v>209</v>
      </c>
      <c r="P13" t="s">
        <v>209</v>
      </c>
      <c r="Q13" t="s">
        <v>209</v>
      </c>
      <c r="T13" t="s">
        <v>20</v>
      </c>
      <c r="U13">
        <v>11</v>
      </c>
      <c r="V13" t="s">
        <v>271</v>
      </c>
      <c r="W13" t="str">
        <f>DEC2HEX(Table7[[#This Row],[Num]],4)</f>
        <v>000B</v>
      </c>
    </row>
    <row r="14" spans="1:23" x14ac:dyDescent="0.55000000000000004">
      <c r="A14" t="s">
        <v>159</v>
      </c>
      <c r="B14" t="str">
        <f>MID(Table3[[#This Row],[Raw]],7,LEN(Table3[[#This Row],[Raw]])-16)</f>
        <v>VARIANT</v>
      </c>
      <c r="C14" t="str">
        <f>MID(Table3[[#This Row],[Raw]],LEN(Table3[[#This Row],[Raw]])-4,4)</f>
        <v>000C</v>
      </c>
      <c r="D14" t="str">
        <f>HEX2BIN(LEFT(Table3[[#This Row],[HexVal]],2),8) &amp; " " &amp; HEX2BIN(RIGHT(Table3[[#This Row],[HexVal]],2),8)</f>
        <v>00000000 00001100</v>
      </c>
      <c r="E14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VT_VARIANT = &amp;H000C'vbVariant</v>
      </c>
      <c r="F14" s="1" t="str">
        <f>VLOOKUP("VT_"&amp;Table3[[#This Row],[Name]],Table27[],2,FALSE)</f>
        <v>X</v>
      </c>
      <c r="G14" s="1" t="str">
        <f>IFERROR(INDEX(Table7[Value],MATCH(Table3[[#This Row],[HexVal]],Table7[Hex],0)),"")</f>
        <v>vbVariant</v>
      </c>
      <c r="I14" s="6"/>
      <c r="J14" s="6"/>
      <c r="K14" s="6"/>
      <c r="M14" t="s">
        <v>221</v>
      </c>
      <c r="N14" t="s">
        <v>209</v>
      </c>
      <c r="O14" t="s">
        <v>209</v>
      </c>
      <c r="Q14" t="s">
        <v>209</v>
      </c>
      <c r="T14" t="s">
        <v>21</v>
      </c>
      <c r="U14">
        <v>12</v>
      </c>
      <c r="V14" t="s">
        <v>272</v>
      </c>
      <c r="W14" t="str">
        <f>DEC2HEX(Table7[[#This Row],[Num]],4)</f>
        <v>000C</v>
      </c>
    </row>
    <row r="15" spans="1:23" x14ac:dyDescent="0.55000000000000004">
      <c r="A15" t="s">
        <v>160</v>
      </c>
      <c r="B15" t="str">
        <f>MID(Table3[[#This Row],[Raw]],7,LEN(Table3[[#This Row],[Raw]])-16)</f>
        <v>UNKNOWN</v>
      </c>
      <c r="C15" t="str">
        <f>MID(Table3[[#This Row],[Raw]],LEN(Table3[[#This Row],[Raw]])-4,4)</f>
        <v>000D</v>
      </c>
      <c r="D15" t="str">
        <f>HEX2BIN(LEFT(Table3[[#This Row],[HexVal]],2),8) &amp; " " &amp; HEX2BIN(RIGHT(Table3[[#This Row],[HexVal]],2),8)</f>
        <v>00000000 00001101</v>
      </c>
      <c r="E15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VT_UNKNOWN = &amp;H000D'vbDataObject</v>
      </c>
      <c r="F15" s="1" t="str">
        <f>VLOOKUP("VT_"&amp;Table3[[#This Row],[Name]],Table27[],2,FALSE)</f>
        <v>X</v>
      </c>
      <c r="G15" s="1" t="str">
        <f>IFERROR(INDEX(Table7[Value],MATCH(Table3[[#This Row],[HexVal]],Table7[Hex],0)),"")</f>
        <v>vbDataObject</v>
      </c>
      <c r="I15" s="6"/>
      <c r="J15" s="6"/>
      <c r="K15" s="6"/>
      <c r="M15" t="s">
        <v>222</v>
      </c>
      <c r="N15" t="s">
        <v>209</v>
      </c>
      <c r="O15" t="s">
        <v>209</v>
      </c>
      <c r="Q15" t="s">
        <v>209</v>
      </c>
      <c r="T15" t="s">
        <v>273</v>
      </c>
      <c r="U15">
        <v>13</v>
      </c>
      <c r="V15" t="s">
        <v>274</v>
      </c>
      <c r="W15" t="str">
        <f>DEC2HEX(Table7[[#This Row],[Num]],4)</f>
        <v>000D</v>
      </c>
    </row>
    <row r="16" spans="1:23" x14ac:dyDescent="0.55000000000000004">
      <c r="A16" t="s">
        <v>161</v>
      </c>
      <c r="B16" t="str">
        <f>MID(Table3[[#This Row],[Raw]],7,LEN(Table3[[#This Row],[Raw]])-16)</f>
        <v>DECIMAL</v>
      </c>
      <c r="C16" t="str">
        <f>MID(Table3[[#This Row],[Raw]],LEN(Table3[[#This Row],[Raw]])-4,4)</f>
        <v>000E</v>
      </c>
      <c r="D16" t="str">
        <f>HEX2BIN(LEFT(Table3[[#This Row],[HexVal]],2),8) &amp; " " &amp; HEX2BIN(RIGHT(Table3[[#This Row],[HexVal]],2),8)</f>
        <v>00000000 00001110</v>
      </c>
      <c r="E16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VT_DECIMAL = &amp;H000E'vbDecimal</v>
      </c>
      <c r="F16" s="1" t="str">
        <f>VLOOKUP("VT_"&amp;Table3[[#This Row],[Name]],Table27[],2,FALSE)</f>
        <v>X</v>
      </c>
      <c r="G16" s="1" t="str">
        <f>IFERROR(INDEX(Table7[Value],MATCH(Table3[[#This Row],[HexVal]],Table7[Hex],0)),"")</f>
        <v>vbDecimal</v>
      </c>
      <c r="I16" s="6"/>
      <c r="J16" s="6"/>
      <c r="K16" s="6"/>
      <c r="M16" t="s">
        <v>223</v>
      </c>
      <c r="N16" t="s">
        <v>209</v>
      </c>
      <c r="P16" t="s">
        <v>209</v>
      </c>
      <c r="T16" t="s">
        <v>22</v>
      </c>
      <c r="U16">
        <v>14</v>
      </c>
      <c r="V16" t="s">
        <v>275</v>
      </c>
      <c r="W16" t="str">
        <f>DEC2HEX(Table7[[#This Row],[Num]],4)</f>
        <v>000E</v>
      </c>
    </row>
    <row r="17" spans="1:23" x14ac:dyDescent="0.55000000000000004">
      <c r="A17" t="s">
        <v>162</v>
      </c>
      <c r="B17" t="str">
        <f>MID(Table3[[#This Row],[Raw]],7,LEN(Table3[[#This Row],[Raw]])-16)</f>
        <v>I1</v>
      </c>
      <c r="C17" t="str">
        <f>MID(Table3[[#This Row],[Raw]],LEN(Table3[[#This Row],[Raw]])-4,4)</f>
        <v>0010</v>
      </c>
      <c r="D17" t="str">
        <f>HEX2BIN(LEFT(Table3[[#This Row],[HexVal]],2),8) &amp; " " &amp; HEX2BIN(RIGHT(Table3[[#This Row],[HexVal]],2),8)</f>
        <v>00000000 00010000</v>
      </c>
      <c r="E17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VT_I1 = &amp;H0010</v>
      </c>
      <c r="F17" s="1" t="str">
        <f>VLOOKUP("VT_"&amp;Table3[[#This Row],[Name]],Table27[],2,FALSE)</f>
        <v>X</v>
      </c>
      <c r="G17" s="1" t="str">
        <f>IFERROR(INDEX(Table7[Value],MATCH(Table3[[#This Row],[HexVal]],Table7[Hex],0)),"")</f>
        <v/>
      </c>
      <c r="I17" s="6"/>
      <c r="J17" s="6"/>
      <c r="K17" s="6"/>
      <c r="M17" t="s">
        <v>224</v>
      </c>
      <c r="N17" t="s">
        <v>209</v>
      </c>
      <c r="O17" t="s">
        <v>209</v>
      </c>
      <c r="P17" t="s">
        <v>209</v>
      </c>
      <c r="Q17" t="s">
        <v>209</v>
      </c>
      <c r="T17" t="s">
        <v>23</v>
      </c>
      <c r="U17">
        <v>17</v>
      </c>
      <c r="V17" t="s">
        <v>276</v>
      </c>
      <c r="W17" t="str">
        <f>DEC2HEX(Table7[[#This Row],[Num]],4)</f>
        <v>0011</v>
      </c>
    </row>
    <row r="18" spans="1:23" x14ac:dyDescent="0.55000000000000004">
      <c r="A18" t="s">
        <v>163</v>
      </c>
      <c r="B18" t="str">
        <f>MID(Table3[[#This Row],[Raw]],7,LEN(Table3[[#This Row],[Raw]])-16)</f>
        <v>UI1</v>
      </c>
      <c r="C18" t="str">
        <f>MID(Table3[[#This Row],[Raw]],LEN(Table3[[#This Row],[Raw]])-4,4)</f>
        <v>0011</v>
      </c>
      <c r="D18" t="str">
        <f>HEX2BIN(LEFT(Table3[[#This Row],[HexVal]],2),8) &amp; " " &amp; HEX2BIN(RIGHT(Table3[[#This Row],[HexVal]],2),8)</f>
        <v>00000000 00010001</v>
      </c>
      <c r="E18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VT_UI1 = &amp;H0011'vbByte</v>
      </c>
      <c r="F18" s="1" t="str">
        <f>VLOOKUP("VT_"&amp;Table3[[#This Row],[Name]],Table27[],2,FALSE)</f>
        <v>X</v>
      </c>
      <c r="G18" s="1" t="str">
        <f>IFERROR(INDEX(Table7[Value],MATCH(Table3[[#This Row],[HexVal]],Table7[Hex],0)),"")</f>
        <v>vbByte</v>
      </c>
      <c r="I18" s="6"/>
      <c r="J18" s="6"/>
      <c r="K18" s="6"/>
      <c r="M18" t="s">
        <v>225</v>
      </c>
      <c r="P18" t="s">
        <v>209</v>
      </c>
      <c r="T18" t="s">
        <v>24</v>
      </c>
      <c r="U18">
        <v>20</v>
      </c>
      <c r="V18" t="s">
        <v>277</v>
      </c>
      <c r="W18" t="str">
        <f>DEC2HEX(Table7[[#This Row],[Num]],4)</f>
        <v>0014</v>
      </c>
    </row>
    <row r="19" spans="1:23" x14ac:dyDescent="0.55000000000000004">
      <c r="A19" t="s">
        <v>164</v>
      </c>
      <c r="B19" t="str">
        <f>MID(Table3[[#This Row],[Raw]],7,LEN(Table3[[#This Row],[Raw]])-16)</f>
        <v>UI2</v>
      </c>
      <c r="C19" t="str">
        <f>MID(Table3[[#This Row],[Raw]],LEN(Table3[[#This Row],[Raw]])-4,4)</f>
        <v>0012</v>
      </c>
      <c r="D19" t="str">
        <f>HEX2BIN(LEFT(Table3[[#This Row],[HexVal]],2),8) &amp; " " &amp; HEX2BIN(RIGHT(Table3[[#This Row],[HexVal]],2),8)</f>
        <v>00000000 00010010</v>
      </c>
      <c r="E19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VT_UI2 = &amp;H0012</v>
      </c>
      <c r="F19" s="1" t="str">
        <f>VLOOKUP("VT_"&amp;Table3[[#This Row],[Name]],Table27[],2,FALSE)</f>
        <v>X</v>
      </c>
      <c r="G19" s="1" t="str">
        <f>IFERROR(INDEX(Table7[Value],MATCH(Table3[[#This Row],[HexVal]],Table7[Hex],0)),"")</f>
        <v/>
      </c>
      <c r="I19" s="6"/>
      <c r="J19" s="6"/>
      <c r="K19" s="6"/>
      <c r="M19" t="s">
        <v>226</v>
      </c>
      <c r="P19" t="s">
        <v>209</v>
      </c>
      <c r="T19" t="s">
        <v>278</v>
      </c>
      <c r="U19">
        <v>36</v>
      </c>
      <c r="V19" t="s">
        <v>279</v>
      </c>
      <c r="W19" t="str">
        <f>DEC2HEX(Table7[[#This Row],[Num]],4)</f>
        <v>0024</v>
      </c>
    </row>
    <row r="20" spans="1:23" x14ac:dyDescent="0.55000000000000004">
      <c r="A20" t="s">
        <v>165</v>
      </c>
      <c r="B20" t="str">
        <f>MID(Table3[[#This Row],[Raw]],7,LEN(Table3[[#This Row],[Raw]])-16)</f>
        <v>UI4</v>
      </c>
      <c r="C20" t="str">
        <f>MID(Table3[[#This Row],[Raw]],LEN(Table3[[#This Row],[Raw]])-4,4)</f>
        <v>0013</v>
      </c>
      <c r="D20" t="str">
        <f>HEX2BIN(LEFT(Table3[[#This Row],[HexVal]],2),8) &amp; " " &amp; HEX2BIN(RIGHT(Table3[[#This Row],[HexVal]],2),8)</f>
        <v>00000000 00010011</v>
      </c>
      <c r="E20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VT_UI4 = &amp;H0013</v>
      </c>
      <c r="F20" s="1" t="str">
        <f>VLOOKUP("VT_"&amp;Table3[[#This Row],[Name]],Table27[],2,FALSE)</f>
        <v>X</v>
      </c>
      <c r="G20" s="1" t="str">
        <f>IFERROR(INDEX(Table7[Value],MATCH(Table3[[#This Row],[HexVal]],Table7[Hex],0)),"")</f>
        <v/>
      </c>
      <c r="I20" s="6"/>
      <c r="J20" s="6"/>
      <c r="K20" s="6"/>
      <c r="M20" t="s">
        <v>227</v>
      </c>
      <c r="N20" t="s">
        <v>209</v>
      </c>
      <c r="O20" t="s">
        <v>209</v>
      </c>
      <c r="P20" t="s">
        <v>209</v>
      </c>
      <c r="Q20" t="s">
        <v>209</v>
      </c>
      <c r="T20" t="s">
        <v>280</v>
      </c>
      <c r="U20">
        <v>8192</v>
      </c>
      <c r="V20" t="s">
        <v>281</v>
      </c>
      <c r="W20" t="str">
        <f>DEC2HEX(Table7[[#This Row],[Num]],4)</f>
        <v>2000</v>
      </c>
    </row>
    <row r="21" spans="1:23" x14ac:dyDescent="0.55000000000000004">
      <c r="A21" t="s">
        <v>166</v>
      </c>
      <c r="B21" t="str">
        <f>MID(Table3[[#This Row],[Raw]],7,LEN(Table3[[#This Row],[Raw]])-16)</f>
        <v>I8</v>
      </c>
      <c r="C21" t="str">
        <f>MID(Table3[[#This Row],[Raw]],LEN(Table3[[#This Row],[Raw]])-4,4)</f>
        <v>0014</v>
      </c>
      <c r="D21" t="str">
        <f>HEX2BIN(LEFT(Table3[[#This Row],[HexVal]],2),8) &amp; " " &amp; HEX2BIN(RIGHT(Table3[[#This Row],[HexVal]],2),8)</f>
        <v>00000000 00010100</v>
      </c>
      <c r="E21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'VT_I8 = &amp;H0014'vbLongLong</v>
      </c>
      <c r="F21" s="1">
        <f>VLOOKUP("VT_"&amp;Table3[[#This Row],[Name]],Table27[],2,FALSE)</f>
        <v>0</v>
      </c>
      <c r="G21" s="1" t="str">
        <f>IFERROR(INDEX(Table7[Value],MATCH(Table3[[#This Row],[HexVal]],Table7[Hex],0)),"")</f>
        <v>vbLongLong</v>
      </c>
      <c r="I21" s="6"/>
      <c r="J21" s="6"/>
      <c r="K21" s="6"/>
      <c r="M21" t="s">
        <v>228</v>
      </c>
      <c r="N21" t="s">
        <v>209</v>
      </c>
      <c r="O21" t="s">
        <v>209</v>
      </c>
      <c r="P21" t="s">
        <v>209</v>
      </c>
      <c r="Q21" t="s">
        <v>209</v>
      </c>
    </row>
    <row r="22" spans="1:23" x14ac:dyDescent="0.55000000000000004">
      <c r="A22" t="s">
        <v>167</v>
      </c>
      <c r="B22" t="str">
        <f>MID(Table3[[#This Row],[Raw]],7,LEN(Table3[[#This Row],[Raw]])-16)</f>
        <v>UI8</v>
      </c>
      <c r="C22" t="str">
        <f>MID(Table3[[#This Row],[Raw]],LEN(Table3[[#This Row],[Raw]])-4,4)</f>
        <v>0015</v>
      </c>
      <c r="D22" t="str">
        <f>HEX2BIN(LEFT(Table3[[#This Row],[HexVal]],2),8) &amp; " " &amp; HEX2BIN(RIGHT(Table3[[#This Row],[HexVal]],2),8)</f>
        <v>00000000 00010101</v>
      </c>
      <c r="E22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'VT_UI8 = &amp;H0015</v>
      </c>
      <c r="F22" s="1">
        <f>VLOOKUP("VT_"&amp;Table3[[#This Row],[Name]],Table27[],2,FALSE)</f>
        <v>0</v>
      </c>
      <c r="G22" s="1" t="str">
        <f>IFERROR(INDEX(Table7[Value],MATCH(Table3[[#This Row],[HexVal]],Table7[Hex],0)),"")</f>
        <v/>
      </c>
      <c r="I22" s="6"/>
      <c r="J22" s="6"/>
      <c r="K22" s="6"/>
      <c r="M22" t="s">
        <v>229</v>
      </c>
      <c r="N22" t="s">
        <v>209</v>
      </c>
      <c r="O22" t="s">
        <v>209</v>
      </c>
      <c r="P22" t="s">
        <v>209</v>
      </c>
      <c r="Q22" t="s">
        <v>209</v>
      </c>
    </row>
    <row r="23" spans="1:23" x14ac:dyDescent="0.55000000000000004">
      <c r="A23" t="s">
        <v>168</v>
      </c>
      <c r="B23" t="str">
        <f>MID(Table3[[#This Row],[Raw]],7,LEN(Table3[[#This Row],[Raw]])-16)</f>
        <v>INT</v>
      </c>
      <c r="C23" t="str">
        <f>MID(Table3[[#This Row],[Raw]],LEN(Table3[[#This Row],[Raw]])-4,4)</f>
        <v>0016</v>
      </c>
      <c r="D23" t="str">
        <f>HEX2BIN(LEFT(Table3[[#This Row],[HexVal]],2),8) &amp; " " &amp; HEX2BIN(RIGHT(Table3[[#This Row],[HexVal]],2),8)</f>
        <v>00000000 00010110</v>
      </c>
      <c r="E23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VT_INT = &amp;H0016</v>
      </c>
      <c r="F23" s="1" t="str">
        <f>VLOOKUP("VT_"&amp;Table3[[#This Row],[Name]],Table27[],2,FALSE)</f>
        <v>X</v>
      </c>
      <c r="G23" s="1" t="str">
        <f>IFERROR(INDEX(Table7[Value],MATCH(Table3[[#This Row],[HexVal]],Table7[Hex],0)),"")</f>
        <v/>
      </c>
      <c r="I23" s="6"/>
      <c r="J23" s="6"/>
      <c r="K23" s="6"/>
      <c r="M23" t="s">
        <v>230</v>
      </c>
      <c r="O23" t="s">
        <v>209</v>
      </c>
      <c r="P23" t="s">
        <v>209</v>
      </c>
    </row>
    <row r="24" spans="1:23" x14ac:dyDescent="0.55000000000000004">
      <c r="A24" t="s">
        <v>169</v>
      </c>
      <c r="B24" t="str">
        <f>MID(Table3[[#This Row],[Raw]],7,LEN(Table3[[#This Row],[Raw]])-16)</f>
        <v>UINT</v>
      </c>
      <c r="C24" t="str">
        <f>MID(Table3[[#This Row],[Raw]],LEN(Table3[[#This Row],[Raw]])-4,4)</f>
        <v>0017</v>
      </c>
      <c r="D24" t="str">
        <f>HEX2BIN(LEFT(Table3[[#This Row],[HexVal]],2),8) &amp; " " &amp; HEX2BIN(RIGHT(Table3[[#This Row],[HexVal]],2),8)</f>
        <v>00000000 00010111</v>
      </c>
      <c r="E24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VT_UINT = &amp;H0017</v>
      </c>
      <c r="F24" s="1" t="str">
        <f>VLOOKUP("VT_"&amp;Table3[[#This Row],[Name]],Table27[],2,FALSE)</f>
        <v>X</v>
      </c>
      <c r="G24" s="1" t="str">
        <f>IFERROR(INDEX(Table7[Value],MATCH(Table3[[#This Row],[HexVal]],Table7[Hex],0)),"")</f>
        <v/>
      </c>
      <c r="I24" s="6"/>
      <c r="J24" s="6"/>
      <c r="K24" s="6"/>
      <c r="M24" t="s">
        <v>231</v>
      </c>
      <c r="N24" t="s">
        <v>209</v>
      </c>
      <c r="O24" t="s">
        <v>209</v>
      </c>
      <c r="P24" t="s">
        <v>209</v>
      </c>
      <c r="Q24" t="s">
        <v>209</v>
      </c>
    </row>
    <row r="25" spans="1:23" x14ac:dyDescent="0.55000000000000004">
      <c r="A25" t="s">
        <v>170</v>
      </c>
      <c r="B25" t="str">
        <f>MID(Table3[[#This Row],[Raw]],7,LEN(Table3[[#This Row],[Raw]])-16)</f>
        <v>VOID</v>
      </c>
      <c r="C25" t="str">
        <f>MID(Table3[[#This Row],[Raw]],LEN(Table3[[#This Row],[Raw]])-4,4)</f>
        <v>0018</v>
      </c>
      <c r="D25" t="str">
        <f>HEX2BIN(LEFT(Table3[[#This Row],[HexVal]],2),8) &amp; " " &amp; HEX2BIN(RIGHT(Table3[[#This Row],[HexVal]],2),8)</f>
        <v>00000000 00011000</v>
      </c>
      <c r="E25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'VT_VOID = &amp;H0018</v>
      </c>
      <c r="F25" s="1">
        <f>VLOOKUP("VT_"&amp;Table3[[#This Row],[Name]],Table27[],2,FALSE)</f>
        <v>0</v>
      </c>
      <c r="G25" s="1" t="str">
        <f>IFERROR(INDEX(Table7[Value],MATCH(Table3[[#This Row],[HexVal]],Table7[Hex],0)),"")</f>
        <v/>
      </c>
      <c r="I25" s="6"/>
      <c r="J25" s="6"/>
      <c r="K25" s="6"/>
      <c r="M25" t="s">
        <v>232</v>
      </c>
      <c r="P25" t="s">
        <v>209</v>
      </c>
    </row>
    <row r="26" spans="1:23" x14ac:dyDescent="0.55000000000000004">
      <c r="A26" t="s">
        <v>171</v>
      </c>
      <c r="B26" t="str">
        <f>MID(Table3[[#This Row],[Raw]],7,LEN(Table3[[#This Row],[Raw]])-16)</f>
        <v>HRESULT</v>
      </c>
      <c r="C26" t="str">
        <f>MID(Table3[[#This Row],[Raw]],LEN(Table3[[#This Row],[Raw]])-4,4)</f>
        <v>0019</v>
      </c>
      <c r="D26" t="str">
        <f>HEX2BIN(LEFT(Table3[[#This Row],[HexVal]],2),8) &amp; " " &amp; HEX2BIN(RIGHT(Table3[[#This Row],[HexVal]],2),8)</f>
        <v>00000000 00011001</v>
      </c>
      <c r="E26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'VT_HRESULT = &amp;H0019</v>
      </c>
      <c r="F26" s="1">
        <f>VLOOKUP("VT_"&amp;Table3[[#This Row],[Name]],Table27[],2,FALSE)</f>
        <v>0</v>
      </c>
      <c r="G26" s="1" t="str">
        <f>IFERROR(INDEX(Table7[Value],MATCH(Table3[[#This Row],[HexVal]],Table7[Hex],0)),"")</f>
        <v/>
      </c>
      <c r="I26" s="6"/>
      <c r="J26" s="6"/>
      <c r="K26" s="6"/>
      <c r="M26" t="s">
        <v>233</v>
      </c>
      <c r="O26" t="s">
        <v>209</v>
      </c>
      <c r="P26" t="s">
        <v>209</v>
      </c>
    </row>
    <row r="27" spans="1:23" x14ac:dyDescent="0.55000000000000004">
      <c r="A27" t="s">
        <v>172</v>
      </c>
      <c r="B27" t="str">
        <f>MID(Table3[[#This Row],[Raw]],7,LEN(Table3[[#This Row],[Raw]])-16)</f>
        <v>PTR</v>
      </c>
      <c r="C27" t="str">
        <f>MID(Table3[[#This Row],[Raw]],LEN(Table3[[#This Row],[Raw]])-4,4)</f>
        <v>001A</v>
      </c>
      <c r="D27" t="str">
        <f>HEX2BIN(LEFT(Table3[[#This Row],[HexVal]],2),8) &amp; " " &amp; HEX2BIN(RIGHT(Table3[[#This Row],[HexVal]],2),8)</f>
        <v>00000000 00011010</v>
      </c>
      <c r="E27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'VT_PTR = &amp;H001A</v>
      </c>
      <c r="F27" s="1">
        <f>VLOOKUP("VT_"&amp;Table3[[#This Row],[Name]],Table27[],2,FALSE)</f>
        <v>0</v>
      </c>
      <c r="G27" s="1" t="str">
        <f>IFERROR(INDEX(Table7[Value],MATCH(Table3[[#This Row],[HexVal]],Table7[Hex],0)),"")</f>
        <v/>
      </c>
      <c r="I27" s="6"/>
      <c r="J27" s="6"/>
      <c r="K27" s="6"/>
      <c r="M27" t="s">
        <v>234</v>
      </c>
      <c r="O27" t="s">
        <v>209</v>
      </c>
      <c r="P27" t="s">
        <v>209</v>
      </c>
    </row>
    <row r="28" spans="1:23" x14ac:dyDescent="0.55000000000000004">
      <c r="A28" t="s">
        <v>173</v>
      </c>
      <c r="B28" t="str">
        <f>MID(Table3[[#This Row],[Raw]],7,LEN(Table3[[#This Row],[Raw]])-16)</f>
        <v>SAFEARRAY</v>
      </c>
      <c r="C28" t="str">
        <f>MID(Table3[[#This Row],[Raw]],LEN(Table3[[#This Row],[Raw]])-4,4)</f>
        <v>001B</v>
      </c>
      <c r="D28" t="str">
        <f>HEX2BIN(LEFT(Table3[[#This Row],[HexVal]],2),8) &amp; " " &amp; HEX2BIN(RIGHT(Table3[[#This Row],[HexVal]],2),8)</f>
        <v>00000000 00011011</v>
      </c>
      <c r="E28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'VT_SAFEARRAY = &amp;H001B</v>
      </c>
      <c r="F28" s="1">
        <f>VLOOKUP("VT_"&amp;Table3[[#This Row],[Name]],Table27[],2,FALSE)</f>
        <v>0</v>
      </c>
      <c r="G28" s="1" t="str">
        <f>IFERROR(INDEX(Table7[Value],MATCH(Table3[[#This Row],[HexVal]],Table7[Hex],0)),"")</f>
        <v/>
      </c>
      <c r="I28" s="6"/>
      <c r="J28" s="6"/>
      <c r="K28" s="6"/>
      <c r="M28" t="s">
        <v>235</v>
      </c>
      <c r="N28" t="s">
        <v>209</v>
      </c>
      <c r="P28" t="s">
        <v>209</v>
      </c>
    </row>
    <row r="29" spans="1:23" x14ac:dyDescent="0.55000000000000004">
      <c r="A29" t="s">
        <v>174</v>
      </c>
      <c r="B29" t="str">
        <f>MID(Table3[[#This Row],[Raw]],7,LEN(Table3[[#This Row],[Raw]])-16)</f>
        <v>CARRAY</v>
      </c>
      <c r="C29" t="str">
        <f>MID(Table3[[#This Row],[Raw]],LEN(Table3[[#This Row],[Raw]])-4,4)</f>
        <v>001C</v>
      </c>
      <c r="D29" t="str">
        <f>HEX2BIN(LEFT(Table3[[#This Row],[HexVal]],2),8) &amp; " " &amp; HEX2BIN(RIGHT(Table3[[#This Row],[HexVal]],2),8)</f>
        <v>00000000 00011100</v>
      </c>
      <c r="E29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'VT_CARRAY = &amp;H001C</v>
      </c>
      <c r="F29" s="1">
        <f>VLOOKUP("VT_"&amp;Table3[[#This Row],[Name]],Table27[],2,FALSE)</f>
        <v>0</v>
      </c>
      <c r="G29" s="1" t="str">
        <f>IFERROR(INDEX(Table7[Value],MATCH(Table3[[#This Row],[HexVal]],Table7[Hex],0)),"")</f>
        <v/>
      </c>
      <c r="I29" s="6"/>
      <c r="J29" s="6"/>
      <c r="K29" s="6"/>
      <c r="M29" t="s">
        <v>236</v>
      </c>
      <c r="P29" t="s">
        <v>209</v>
      </c>
    </row>
    <row r="30" spans="1:23" x14ac:dyDescent="0.55000000000000004">
      <c r="A30" t="s">
        <v>175</v>
      </c>
      <c r="B30" t="str">
        <f>MID(Table3[[#This Row],[Raw]],7,LEN(Table3[[#This Row],[Raw]])-16)</f>
        <v>USERDEFINED</v>
      </c>
      <c r="C30" t="str">
        <f>MID(Table3[[#This Row],[Raw]],LEN(Table3[[#This Row],[Raw]])-4,4)</f>
        <v>001D</v>
      </c>
      <c r="D30" t="str">
        <f>HEX2BIN(LEFT(Table3[[#This Row],[HexVal]],2),8) &amp; " " &amp; HEX2BIN(RIGHT(Table3[[#This Row],[HexVal]],2),8)</f>
        <v>00000000 00011101</v>
      </c>
      <c r="E30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'VT_USERDEFINED = &amp;H001D</v>
      </c>
      <c r="F30" s="1">
        <f>VLOOKUP("VT_"&amp;Table3[[#This Row],[Name]],Table27[],2,FALSE)</f>
        <v>0</v>
      </c>
      <c r="G30" s="1" t="str">
        <f>IFERROR(INDEX(Table7[Value],MATCH(Table3[[#This Row],[HexVal]],Table7[Hex],0)),"")</f>
        <v/>
      </c>
      <c r="I30" s="6"/>
      <c r="J30" s="6"/>
      <c r="K30" s="6"/>
      <c r="M30" t="s">
        <v>237</v>
      </c>
      <c r="N30" t="s">
        <v>209</v>
      </c>
      <c r="O30" t="s">
        <v>209</v>
      </c>
      <c r="P30" t="s">
        <v>209</v>
      </c>
      <c r="Q30" t="s">
        <v>209</v>
      </c>
    </row>
    <row r="31" spans="1:23" x14ac:dyDescent="0.55000000000000004">
      <c r="A31" t="s">
        <v>176</v>
      </c>
      <c r="B31" t="str">
        <f>MID(Table3[[#This Row],[Raw]],7,LEN(Table3[[#This Row],[Raw]])-16)</f>
        <v>LPSTR</v>
      </c>
      <c r="C31" t="str">
        <f>MID(Table3[[#This Row],[Raw]],LEN(Table3[[#This Row],[Raw]])-4,4)</f>
        <v>001E</v>
      </c>
      <c r="D31" t="str">
        <f>HEX2BIN(LEFT(Table3[[#This Row],[HexVal]],2),8) &amp; " " &amp; HEX2BIN(RIGHT(Table3[[#This Row],[HexVal]],2),8)</f>
        <v>00000000 00011110</v>
      </c>
      <c r="E31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'VT_LPSTR = &amp;H001E</v>
      </c>
      <c r="F31" s="1">
        <f>VLOOKUP("VT_"&amp;Table3[[#This Row],[Name]],Table27[],2,FALSE)</f>
        <v>0</v>
      </c>
      <c r="G31" s="1" t="str">
        <f>IFERROR(INDEX(Table7[Value],MATCH(Table3[[#This Row],[HexVal]],Table7[Hex],0)),"")</f>
        <v/>
      </c>
      <c r="I31" s="6"/>
      <c r="J31" s="6"/>
      <c r="K31" s="6"/>
      <c r="M31" t="s">
        <v>238</v>
      </c>
      <c r="N31" t="s">
        <v>209</v>
      </c>
      <c r="O31" t="s">
        <v>209</v>
      </c>
      <c r="P31" t="s">
        <v>209</v>
      </c>
      <c r="Q31" t="s">
        <v>209</v>
      </c>
    </row>
    <row r="32" spans="1:23" x14ac:dyDescent="0.55000000000000004">
      <c r="A32" t="s">
        <v>177</v>
      </c>
      <c r="B32" t="str">
        <f>MID(Table3[[#This Row],[Raw]],7,LEN(Table3[[#This Row],[Raw]])-16)</f>
        <v>LPWSTR</v>
      </c>
      <c r="C32" t="str">
        <f>MID(Table3[[#This Row],[Raw]],LEN(Table3[[#This Row],[Raw]])-4,4)</f>
        <v>001F</v>
      </c>
      <c r="D32" t="str">
        <f>HEX2BIN(LEFT(Table3[[#This Row],[HexVal]],2),8) &amp; " " &amp; HEX2BIN(RIGHT(Table3[[#This Row],[HexVal]],2),8)</f>
        <v>00000000 00011111</v>
      </c>
      <c r="E32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'VT_LPWSTR = &amp;H001F</v>
      </c>
      <c r="F32" s="1">
        <f>VLOOKUP("VT_"&amp;Table3[[#This Row],[Name]],Table27[],2,FALSE)</f>
        <v>0</v>
      </c>
      <c r="G32" s="1" t="str">
        <f>IFERROR(INDEX(Table7[Value],MATCH(Table3[[#This Row],[HexVal]],Table7[Hex],0)),"")</f>
        <v/>
      </c>
      <c r="I32" s="6"/>
      <c r="J32" s="6"/>
      <c r="K32" s="6"/>
      <c r="M32" t="s">
        <v>239</v>
      </c>
      <c r="N32" t="s">
        <v>209</v>
      </c>
      <c r="P32" t="s">
        <v>209</v>
      </c>
      <c r="Q32" t="s">
        <v>209</v>
      </c>
    </row>
    <row r="33" spans="1:17" x14ac:dyDescent="0.55000000000000004">
      <c r="A33" t="s">
        <v>178</v>
      </c>
      <c r="B33" t="str">
        <f>MID(Table3[[#This Row],[Raw]],7,LEN(Table3[[#This Row],[Raw]])-16)</f>
        <v>RECORD</v>
      </c>
      <c r="C33" t="str">
        <f>MID(Table3[[#This Row],[Raw]],LEN(Table3[[#This Row],[Raw]])-4,4)</f>
        <v>0024</v>
      </c>
      <c r="D33" t="str">
        <f>HEX2BIN(LEFT(Table3[[#This Row],[HexVal]],2),8) &amp; " " &amp; HEX2BIN(RIGHT(Table3[[#This Row],[HexVal]],2),8)</f>
        <v>00000000 00100100</v>
      </c>
      <c r="E33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VT_RECORD = &amp;H0024'vbUserDefinedType</v>
      </c>
      <c r="F33" s="1" t="str">
        <f>VLOOKUP("VT_"&amp;Table3[[#This Row],[Name]],Table27[],2,FALSE)</f>
        <v>X</v>
      </c>
      <c r="G33" s="1" t="str">
        <f>IFERROR(INDEX(Table7[Value],MATCH(Table3[[#This Row],[HexVal]],Table7[Hex],0)),"")</f>
        <v>vbUserDefinedType</v>
      </c>
      <c r="I33" s="6"/>
      <c r="J33" s="6"/>
      <c r="K33" s="6"/>
      <c r="M33" t="s">
        <v>240</v>
      </c>
      <c r="O33" t="s">
        <v>209</v>
      </c>
    </row>
    <row r="34" spans="1:17" x14ac:dyDescent="0.55000000000000004">
      <c r="A34" t="s">
        <v>179</v>
      </c>
      <c r="B34" t="str">
        <f>MID(Table3[[#This Row],[Raw]],7,LEN(Table3[[#This Row],[Raw]])-16)</f>
        <v>INT_PTR</v>
      </c>
      <c r="C34" t="str">
        <f>MID(Table3[[#This Row],[Raw]],LEN(Table3[[#This Row],[Raw]])-4,4)</f>
        <v>0025</v>
      </c>
      <c r="D34" t="str">
        <f>HEX2BIN(LEFT(Table3[[#This Row],[HexVal]],2),8) &amp; " " &amp; HEX2BIN(RIGHT(Table3[[#This Row],[HexVal]],2),8)</f>
        <v>00000000 00100101</v>
      </c>
      <c r="E34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'VT_INT_PTR = &amp;H0025</v>
      </c>
      <c r="F34" s="1">
        <f>VLOOKUP("VT_"&amp;Table3[[#This Row],[Name]],Table27[],2,FALSE)</f>
        <v>0</v>
      </c>
      <c r="G34" s="1" t="str">
        <f>IFERROR(INDEX(Table7[Value],MATCH(Table3[[#This Row],[HexVal]],Table7[Hex],0)),"")</f>
        <v/>
      </c>
      <c r="I34" s="6"/>
      <c r="J34" s="6"/>
      <c r="K34" s="6"/>
      <c r="M34" t="s">
        <v>241</v>
      </c>
      <c r="P34" t="s">
        <v>209</v>
      </c>
    </row>
    <row r="35" spans="1:17" x14ac:dyDescent="0.55000000000000004">
      <c r="A35" t="s">
        <v>180</v>
      </c>
      <c r="B35" t="str">
        <f>MID(Table3[[#This Row],[Raw]],7,LEN(Table3[[#This Row],[Raw]])-16)</f>
        <v>UINT_PTR</v>
      </c>
      <c r="C35" t="str">
        <f>MID(Table3[[#This Row],[Raw]],LEN(Table3[[#This Row],[Raw]])-4,4)</f>
        <v>0026</v>
      </c>
      <c r="D35" t="str">
        <f>HEX2BIN(LEFT(Table3[[#This Row],[HexVal]],2),8) &amp; " " &amp; HEX2BIN(RIGHT(Table3[[#This Row],[HexVal]],2),8)</f>
        <v>00000000 00100110</v>
      </c>
      <c r="E35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'VT_UINT_PTR = &amp;H0026</v>
      </c>
      <c r="F35" s="1">
        <f>VLOOKUP("VT_"&amp;Table3[[#This Row],[Name]],Table27[],2,FALSE)</f>
        <v>0</v>
      </c>
      <c r="G35" s="1" t="str">
        <f>IFERROR(INDEX(Table7[Value],MATCH(Table3[[#This Row],[HexVal]],Table7[Hex],0)),"")</f>
        <v/>
      </c>
      <c r="I35" s="6"/>
      <c r="J35" s="6"/>
      <c r="K35" s="6"/>
      <c r="M35" t="s">
        <v>242</v>
      </c>
      <c r="P35" t="s">
        <v>209</v>
      </c>
    </row>
    <row r="36" spans="1:17" x14ac:dyDescent="0.55000000000000004">
      <c r="A36" t="s">
        <v>181</v>
      </c>
      <c r="B36" t="str">
        <f>MID(Table3[[#This Row],[Raw]],7,LEN(Table3[[#This Row],[Raw]])-16)</f>
        <v>ARRAY</v>
      </c>
      <c r="C36" t="str">
        <f>MID(Table3[[#This Row],[Raw]],LEN(Table3[[#This Row],[Raw]])-4,4)</f>
        <v>2000</v>
      </c>
      <c r="D36" t="str">
        <f>HEX2BIN(LEFT(Table3[[#This Row],[HexVal]],2),8) &amp; " " &amp; HEX2BIN(RIGHT(Table3[[#This Row],[HexVal]],2),8)</f>
        <v>00100000 00000000</v>
      </c>
      <c r="E36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VT_ARRAY = &amp;H2000'vbArray</v>
      </c>
      <c r="F36" s="1" t="str">
        <f>VLOOKUP("VT_"&amp;Table3[[#This Row],[Name]],Table27[],2,FALSE)</f>
        <v>X</v>
      </c>
      <c r="G36" s="1" t="str">
        <f>IFERROR(INDEX(Table7[Value],MATCH(Table3[[#This Row],[HexVal]],Table7[Hex],0)),"")</f>
        <v>vbArray</v>
      </c>
      <c r="I36" s="6"/>
      <c r="J36" s="6"/>
      <c r="K36" s="6"/>
      <c r="M36" t="s">
        <v>243</v>
      </c>
      <c r="P36" t="s">
        <v>209</v>
      </c>
    </row>
    <row r="37" spans="1:17" x14ac:dyDescent="0.55000000000000004">
      <c r="A37" t="s">
        <v>185</v>
      </c>
      <c r="B37" t="str">
        <f>MID(Table3[[#This Row],[Raw]],7,LEN(Table3[[#This Row],[Raw]])-16)</f>
        <v>BYREF</v>
      </c>
      <c r="C37" t="str">
        <f>MID(Table3[[#This Row],[Raw]],LEN(Table3[[#This Row],[Raw]])-4,4)</f>
        <v>4000</v>
      </c>
      <c r="D37" t="str">
        <f>HEX2BIN(LEFT(Table3[[#This Row],[HexVal]],2),8) &amp; " " &amp; HEX2BIN(RIGHT(Table3[[#This Row],[HexVal]],2),8)</f>
        <v>01000000 00000000</v>
      </c>
      <c r="E37" s="1" t="str">
        <f>FORMATPY("\t{2}VT_{0} = &amp;H{1}{3}",Table3[[#This Row],[Name]],Table3[[#This Row],[HexVal]],IF(Table3[Allowed?]="X","","'"),IF(Table3[[#This Row],[Corresponding]]="","","'"&amp;Table3[[#This Row],[Corresponding]]))</f>
        <v xml:space="preserve">	VT_BYREF = &amp;H4000</v>
      </c>
      <c r="F37" s="1" t="str">
        <f>VLOOKUP("VT_"&amp;Table3[[#This Row],[Name]],Table27[],2,FALSE)</f>
        <v>X</v>
      </c>
      <c r="G37" s="1" t="str">
        <f>IFERROR(INDEX(Table7[Value],MATCH(Table3[[#This Row],[HexVal]],Table7[Hex],0)),"")</f>
        <v/>
      </c>
      <c r="I37" s="6"/>
      <c r="J37" s="6"/>
      <c r="K37" s="6"/>
      <c r="M37" t="s">
        <v>244</v>
      </c>
      <c r="P37" t="s">
        <v>209</v>
      </c>
    </row>
    <row r="38" spans="1:17" x14ac:dyDescent="0.55000000000000004">
      <c r="B38" s="1"/>
      <c r="C38" s="1"/>
      <c r="D38" s="1"/>
      <c r="E38" s="1" t="str">
        <f>_xlfn.TEXTJOIN(CHAR(13),TRUE,Table3[Decl])</f>
        <v xml:space="preserve">	VT_EMPTY = &amp;H0000'vbEmpty_x000D_	VT_NULL = &amp;H0001'vbNull_x000D_	VT_I2 = &amp;H0002'vbInteger_x000D_	VT_I4 = &amp;H0003'vbLong_x000D_	VT_R4 = &amp;H0004'vbSingle_x000D_	VT_R8 = &amp;H0005'vbDouble_x000D_	VT_CY = &amp;H0006'vbCurrency_x000D_	VT_DATE = &amp;H0007'vbDate_x000D_	VT_BSTR = &amp;H0008'vbString_x000D_	VT_DISPATCH = &amp;H0009'vbObject_x000D_	VT_ERROR = &amp;H000A'vbError_x000D_	VT_BOOL = &amp;H000B'vbBoolean_x000D_	VT_VARIANT = &amp;H000C'vbVariant_x000D_	VT_UNKNOWN = &amp;H000D'vbDataObject_x000D_	VT_DECIMAL = &amp;H000E'vbDecimal_x000D_	VT_I1 = &amp;H0010_x000D_	VT_UI1 = &amp;H0011'vbByte_x000D_	VT_UI2 = &amp;H0012_x000D_	VT_UI4 = &amp;H0013_x000D_	'VT_I8 = &amp;H0014'vbLongLong_x000D_	'VT_UI8 = &amp;H0015_x000D_	VT_INT = &amp;H0016_x000D_	VT_UINT = &amp;H0017_x000D_	'VT_VOID = &amp;H0018_x000D_	'VT_HRESULT = &amp;H0019_x000D_	'VT_PTR = &amp;H001A_x000D_	'VT_SAFEARRAY = &amp;H001B_x000D_	'VT_CARRAY = &amp;H001C_x000D_	'VT_USERDEFINED = &amp;H001D_x000D_	'VT_LPSTR = &amp;H001E_x000D_	'VT_LPWSTR = &amp;H001F_x000D_	VT_RECORD = &amp;H0024'vbUserDefinedType_x000D_	'VT_INT_PTR = &amp;H0025_x000D_	'VT_UINT_PTR = &amp;H0026_x000D_	VT_ARRAY = &amp;H2000'vbArray_x000D_	VT_BYREF = &amp;H4000</v>
      </c>
      <c r="I38" s="6"/>
      <c r="J38" s="6"/>
      <c r="K38" s="6"/>
      <c r="M38" t="s">
        <v>245</v>
      </c>
      <c r="N38" t="s">
        <v>209</v>
      </c>
      <c r="O38" t="s">
        <v>209</v>
      </c>
      <c r="P38" t="s">
        <v>209</v>
      </c>
      <c r="Q38" t="s">
        <v>209</v>
      </c>
    </row>
    <row r="39" spans="1:17" x14ac:dyDescent="0.55000000000000004">
      <c r="M39" t="s">
        <v>246</v>
      </c>
      <c r="N39" t="s">
        <v>209</v>
      </c>
      <c r="O39" t="s">
        <v>209</v>
      </c>
      <c r="P39" t="s">
        <v>209</v>
      </c>
      <c r="Q39" t="s">
        <v>209</v>
      </c>
    </row>
    <row r="40" spans="1:17" x14ac:dyDescent="0.55000000000000004">
      <c r="M40" t="s">
        <v>247</v>
      </c>
      <c r="N40" t="s">
        <v>209</v>
      </c>
      <c r="O40" t="s">
        <v>209</v>
      </c>
      <c r="P40" t="s">
        <v>209</v>
      </c>
      <c r="Q40" t="s">
        <v>209</v>
      </c>
    </row>
    <row r="41" spans="1:17" x14ac:dyDescent="0.55000000000000004">
      <c r="M41" t="s">
        <v>248</v>
      </c>
      <c r="O41" t="s">
        <v>209</v>
      </c>
      <c r="P41" t="s">
        <v>209</v>
      </c>
    </row>
    <row r="42" spans="1:17" x14ac:dyDescent="0.55000000000000004">
      <c r="M42" t="s">
        <v>249</v>
      </c>
      <c r="N42" t="s">
        <v>209</v>
      </c>
      <c r="O42" t="s">
        <v>209</v>
      </c>
      <c r="Q42" t="s">
        <v>209</v>
      </c>
    </row>
    <row r="43" spans="1:17" x14ac:dyDescent="0.55000000000000004">
      <c r="M43" t="s">
        <v>250</v>
      </c>
      <c r="P43" t="s">
        <v>209</v>
      </c>
    </row>
    <row r="44" spans="1:17" x14ac:dyDescent="0.55000000000000004">
      <c r="M44" t="s">
        <v>251</v>
      </c>
      <c r="N44" t="s">
        <v>209</v>
      </c>
      <c r="O44" t="s">
        <v>209</v>
      </c>
      <c r="Q44" t="s">
        <v>209</v>
      </c>
    </row>
    <row r="45" spans="1:17" x14ac:dyDescent="0.55000000000000004">
      <c r="M45" t="s">
        <v>252</v>
      </c>
      <c r="P45" t="s">
        <v>209</v>
      </c>
    </row>
    <row r="46" spans="1:17" x14ac:dyDescent="0.55000000000000004">
      <c r="M46" t="s">
        <v>253</v>
      </c>
      <c r="N46" t="s">
        <v>209</v>
      </c>
      <c r="O46" t="s">
        <v>209</v>
      </c>
      <c r="P46" t="s">
        <v>209</v>
      </c>
      <c r="Q46" t="s">
        <v>209</v>
      </c>
    </row>
    <row r="47" spans="1:17" x14ac:dyDescent="0.55000000000000004">
      <c r="M47" t="s">
        <v>254</v>
      </c>
      <c r="P47" t="s">
        <v>209</v>
      </c>
    </row>
    <row r="48" spans="1:17" x14ac:dyDescent="0.55000000000000004">
      <c r="M48" t="s">
        <v>255</v>
      </c>
      <c r="P48" t="s">
        <v>209</v>
      </c>
    </row>
    <row r="49" spans="13:16" x14ac:dyDescent="0.55000000000000004">
      <c r="M49" t="s">
        <v>256</v>
      </c>
      <c r="P49" t="s">
        <v>209</v>
      </c>
    </row>
  </sheetData>
  <mergeCells count="1">
    <mergeCell ref="I2:K38"/>
  </mergeCells>
  <pageMargins left="0.7" right="0.7" top="0.75" bottom="0.75" header="0.3" footer="0.3"/>
  <pageSetup paperSize="9" orientation="portrait" horizontalDpi="4294967293" verticalDpi="0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Sheet1</vt:lpstr>
      <vt:lpstr>Results</vt:lpstr>
      <vt:lpstr>TypeWriter</vt:lpstr>
      <vt:lpstr>Sheet2</vt:lpstr>
      <vt:lpstr>VT_Stuff</vt:lpstr>
      <vt:lpstr>ClassName</vt:lpstr>
      <vt:lpstr>ConstructorMask</vt:lpstr>
      <vt:lpstr>TypeMask</vt:lpstr>
      <vt:lpstr>TypeName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Hall</dc:creator>
  <cp:lastModifiedBy>Guy Hall</cp:lastModifiedBy>
  <dcterms:created xsi:type="dcterms:W3CDTF">2019-11-14T16:16:08Z</dcterms:created>
  <dcterms:modified xsi:type="dcterms:W3CDTF">2020-02-07T18:18:08Z</dcterms:modified>
</cp:coreProperties>
</file>