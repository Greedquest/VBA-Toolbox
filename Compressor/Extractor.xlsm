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codeName="ThisWorkbook" defaultThemeVersion="166925"/>
  <mc:AlternateContent xmlns:mc="http://schemas.openxmlformats.org/markup-compatibility/2006">
    <mc:Choice Requires="x15">
      <x15ac:absPath xmlns:x15ac="http://schemas.microsoft.com/office/spreadsheetml/2010/11/ac" url="C:\Users\Guy\OneDrive\Work\Macros\GitHub\Compressor\"/>
    </mc:Choice>
  </mc:AlternateContent>
  <xr:revisionPtr revIDLastSave="303" documentId="8_{1E25F364-BFB9-4D22-A79A-B1A012134C97}" xr6:coauthVersionLast="28" xr6:coauthVersionMax="28" xr10:uidLastSave="{D23EF05D-D351-47DE-86A3-37A4E2B09A7A}"/>
  <bookViews>
    <workbookView xWindow="0" yWindow="0" windowWidth="20490" windowHeight="7530" activeTab="1" xr2:uid="{13C3DBEE-9F91-4A26-BB5A-8130A94DB6C3}"/>
  </bookViews>
  <sheets>
    <sheet name="Sheet2" sheetId="2" r:id="rId1"/>
    <sheet name="Sheet1" sheetId="3" r:id="rId2"/>
  </sheet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3" l="1"/>
  <c r="C2" i="3" s="1"/>
  <c r="B3" i="3"/>
  <c r="C3" i="3" s="1"/>
  <c r="B4" i="3"/>
  <c r="C4" i="3" s="1"/>
  <c r="B5" i="3"/>
  <c r="C5" i="3" s="1"/>
  <c r="B6" i="3"/>
  <c r="C6" i="3" s="1"/>
  <c r="B7" i="3"/>
  <c r="C7" i="3" s="1"/>
  <c r="B8" i="3"/>
  <c r="C8" i="3" s="1"/>
  <c r="B9" i="3"/>
  <c r="C9" i="3" s="1"/>
  <c r="B10" i="3"/>
  <c r="C10" i="3" s="1"/>
  <c r="B11" i="3"/>
  <c r="C11" i="3" s="1"/>
  <c r="B101" i="2" l="1"/>
  <c r="B102" i="2"/>
  <c r="B103" i="2"/>
  <c r="B104" i="2"/>
  <c r="C104" i="2" s="1"/>
  <c r="B105" i="2"/>
  <c r="C105" i="2" s="1"/>
  <c r="B106" i="2"/>
  <c r="C106" i="2" s="1"/>
  <c r="B107" i="2"/>
  <c r="C107" i="2" s="1"/>
  <c r="B108" i="2"/>
  <c r="C108" i="2" s="1"/>
  <c r="B109" i="2"/>
  <c r="C109" i="2" s="1"/>
  <c r="B110" i="2"/>
  <c r="C110" i="2" s="1"/>
  <c r="B111" i="2"/>
  <c r="C111" i="2" s="1"/>
  <c r="B112" i="2"/>
  <c r="C112" i="2" s="1"/>
  <c r="B113" i="2"/>
  <c r="C113" i="2" s="1"/>
  <c r="B114" i="2"/>
  <c r="C114" i="2" s="1"/>
  <c r="B115" i="2"/>
  <c r="B116" i="2"/>
  <c r="C116" i="2" s="1"/>
  <c r="B117" i="2"/>
  <c r="C117" i="2" s="1"/>
  <c r="B118" i="2"/>
  <c r="C118" i="2" s="1"/>
  <c r="B119" i="2"/>
  <c r="B120" i="2"/>
  <c r="C120" i="2" s="1"/>
  <c r="B121" i="2"/>
  <c r="C121" i="2" s="1"/>
  <c r="B122" i="2"/>
  <c r="C122" i="2" s="1"/>
  <c r="B123" i="2"/>
  <c r="C123" i="2" s="1"/>
  <c r="B124" i="2"/>
  <c r="C124" i="2" s="1"/>
  <c r="B125" i="2"/>
  <c r="C125" i="2" s="1"/>
  <c r="B126" i="2"/>
  <c r="C126" i="2" s="1"/>
  <c r="B127" i="2"/>
  <c r="C127" i="2" s="1"/>
  <c r="B128" i="2"/>
  <c r="C128" i="2" s="1"/>
  <c r="C101" i="2"/>
  <c r="C102" i="2"/>
  <c r="C103" i="2"/>
  <c r="C115" i="2"/>
  <c r="C119" i="2"/>
  <c r="B2" i="2" l="1"/>
  <c r="C2" i="2" s="1"/>
  <c r="B3" i="2"/>
  <c r="C3" i="2" s="1"/>
  <c r="B4" i="2"/>
  <c r="C4" i="2" s="1"/>
  <c r="B5" i="2"/>
  <c r="C5" i="2" s="1"/>
  <c r="B6" i="2"/>
  <c r="C6" i="2" s="1"/>
  <c r="B7" i="2"/>
  <c r="C7" i="2" s="1"/>
  <c r="B8" i="2"/>
  <c r="C8" i="2" s="1"/>
  <c r="B9" i="2"/>
  <c r="C9" i="2" s="1"/>
  <c r="B10" i="2"/>
  <c r="C10" i="2" s="1"/>
  <c r="B11" i="2"/>
  <c r="C11" i="2" s="1"/>
  <c r="B12" i="2"/>
  <c r="C12" i="2" s="1"/>
  <c r="B13" i="2"/>
  <c r="C13" i="2" s="1"/>
  <c r="B14" i="2"/>
  <c r="C14" i="2" s="1"/>
  <c r="B15" i="2"/>
  <c r="C15" i="2" s="1"/>
  <c r="B16" i="2"/>
  <c r="C16" i="2" s="1"/>
  <c r="B17" i="2"/>
  <c r="C17" i="2" s="1"/>
  <c r="B18" i="2"/>
  <c r="C18" i="2" s="1"/>
  <c r="B19" i="2"/>
  <c r="C19" i="2" s="1"/>
  <c r="B20" i="2"/>
  <c r="C20" i="2" s="1"/>
  <c r="B21" i="2"/>
  <c r="C21" i="2" s="1"/>
  <c r="B22" i="2"/>
  <c r="C22" i="2" s="1"/>
  <c r="B23" i="2"/>
  <c r="C23" i="2" s="1"/>
  <c r="B24" i="2"/>
  <c r="C24" i="2" s="1"/>
  <c r="B25" i="2"/>
  <c r="C25" i="2" s="1"/>
  <c r="B26" i="2"/>
  <c r="C26" i="2" s="1"/>
  <c r="B27" i="2"/>
  <c r="C27" i="2" s="1"/>
  <c r="B28" i="2"/>
  <c r="C28" i="2" s="1"/>
  <c r="B29" i="2"/>
  <c r="C29" i="2" s="1"/>
  <c r="B30" i="2"/>
  <c r="C30" i="2" s="1"/>
  <c r="B31" i="2"/>
  <c r="C31" i="2" s="1"/>
  <c r="B32" i="2"/>
  <c r="C32" i="2" s="1"/>
  <c r="B33" i="2"/>
  <c r="C33" i="2" s="1"/>
  <c r="B34" i="2"/>
  <c r="C34" i="2" s="1"/>
  <c r="B35" i="2"/>
  <c r="C35" i="2" s="1"/>
  <c r="B36" i="2"/>
  <c r="C36" i="2" s="1"/>
  <c r="B37" i="2"/>
  <c r="C37" i="2" s="1"/>
  <c r="B38" i="2"/>
  <c r="C38" i="2" s="1"/>
  <c r="B39" i="2"/>
  <c r="C39" i="2" s="1"/>
  <c r="B40" i="2"/>
  <c r="C40" i="2" s="1"/>
  <c r="B41" i="2"/>
  <c r="C41" i="2" s="1"/>
  <c r="B42" i="2"/>
  <c r="C42" i="2" s="1"/>
  <c r="B43" i="2"/>
  <c r="C43" i="2" s="1"/>
  <c r="B44" i="2"/>
  <c r="C44" i="2" s="1"/>
  <c r="B45" i="2"/>
  <c r="C45" i="2" s="1"/>
  <c r="B46" i="2"/>
  <c r="C46" i="2" s="1"/>
  <c r="B47" i="2"/>
  <c r="C47" i="2" s="1"/>
  <c r="B48" i="2"/>
  <c r="C48" i="2" s="1"/>
  <c r="B49" i="2"/>
  <c r="C49" i="2" s="1"/>
  <c r="B50" i="2"/>
  <c r="C50" i="2" s="1"/>
  <c r="B51" i="2"/>
  <c r="C51" i="2" s="1"/>
  <c r="B52" i="2"/>
  <c r="C52" i="2" s="1"/>
  <c r="B53" i="2"/>
  <c r="C53" i="2" s="1"/>
  <c r="B54" i="2"/>
  <c r="C54" i="2" s="1"/>
  <c r="B55" i="2"/>
  <c r="C55" i="2" s="1"/>
  <c r="B56" i="2"/>
  <c r="C56" i="2" s="1"/>
  <c r="B57" i="2"/>
  <c r="C57" i="2" s="1"/>
  <c r="B58" i="2"/>
  <c r="C58" i="2" s="1"/>
  <c r="B59" i="2"/>
  <c r="C59" i="2" s="1"/>
  <c r="B60" i="2"/>
  <c r="C60" i="2" s="1"/>
  <c r="B61" i="2"/>
  <c r="C61" i="2" s="1"/>
  <c r="B62" i="2"/>
  <c r="C62" i="2" s="1"/>
  <c r="B63" i="2"/>
  <c r="C63" i="2" s="1"/>
  <c r="B64" i="2"/>
  <c r="C64" i="2" s="1"/>
  <c r="B65" i="2"/>
  <c r="C65" i="2" s="1"/>
  <c r="B66" i="2"/>
  <c r="C66" i="2" s="1"/>
  <c r="B67" i="2"/>
  <c r="C67" i="2" s="1"/>
  <c r="B68" i="2"/>
  <c r="C68" i="2" s="1"/>
  <c r="B69" i="2"/>
  <c r="C69" i="2" s="1"/>
  <c r="B70" i="2"/>
  <c r="C70" i="2" s="1"/>
  <c r="B71" i="2"/>
  <c r="C71" i="2" s="1"/>
  <c r="B72" i="2"/>
  <c r="C72" i="2" s="1"/>
  <c r="B73" i="2"/>
  <c r="C73" i="2" s="1"/>
  <c r="B74" i="2"/>
  <c r="C74" i="2" s="1"/>
  <c r="B75" i="2"/>
  <c r="C75" i="2" s="1"/>
  <c r="B76" i="2"/>
  <c r="C76" i="2" s="1"/>
  <c r="B77" i="2"/>
  <c r="C77" i="2" s="1"/>
  <c r="B78" i="2"/>
  <c r="C78" i="2" s="1"/>
  <c r="B79" i="2"/>
  <c r="C79" i="2" s="1"/>
  <c r="B80" i="2"/>
  <c r="C80" i="2" s="1"/>
  <c r="B81" i="2"/>
  <c r="C81" i="2" s="1"/>
  <c r="B82" i="2"/>
  <c r="C82" i="2" s="1"/>
  <c r="B83" i="2"/>
  <c r="C83" i="2" s="1"/>
  <c r="B84" i="2"/>
  <c r="C84" i="2" s="1"/>
  <c r="B85" i="2"/>
  <c r="C85" i="2" s="1"/>
  <c r="B86" i="2"/>
  <c r="C86" i="2" s="1"/>
  <c r="B87" i="2"/>
  <c r="C87" i="2" s="1"/>
  <c r="B88" i="2"/>
  <c r="C88" i="2" s="1"/>
  <c r="B89" i="2"/>
  <c r="C89" i="2" s="1"/>
  <c r="B90" i="2"/>
  <c r="C90" i="2" s="1"/>
  <c r="B91" i="2"/>
  <c r="C91" i="2" s="1"/>
  <c r="B92" i="2"/>
  <c r="C92" i="2" s="1"/>
  <c r="B93" i="2"/>
  <c r="C93" i="2" s="1"/>
  <c r="B94" i="2"/>
  <c r="C94" i="2" s="1"/>
  <c r="B95" i="2"/>
  <c r="C95" i="2" s="1"/>
  <c r="B96" i="2"/>
  <c r="C96" i="2" s="1"/>
  <c r="B97" i="2"/>
  <c r="C97" i="2" s="1"/>
  <c r="B98" i="2"/>
  <c r="C98" i="2" s="1"/>
  <c r="B99" i="2"/>
  <c r="C99" i="2" s="1"/>
  <c r="B100" i="2"/>
  <c r="C100" i="2" s="1"/>
  <c r="C129" i="2" l="1"/>
</calcChain>
</file>

<file path=xl/sharedStrings.xml><?xml version="1.0" encoding="utf-8"?>
<sst xmlns="http://schemas.openxmlformats.org/spreadsheetml/2006/main" count="140" uniqueCount="124">
  <si>
    <t>Option Explicit</t>
  </si>
  <si>
    <t>Private Type codeItem</t>
  </si>
  <si>
    <t xml:space="preserve">    extension As String</t>
  </si>
  <si>
    <t xml:space="preserve">    module_name As String</t>
  </si>
  <si>
    <t>End Type</t>
  </si>
  <si>
    <t>Private Const TypeBinary = 1</t>
  </si>
  <si>
    <t>Private Const ForReading = 1, ForWriting = 2, ForAppending = 8</t>
  </si>
  <si>
    <t>Private Function getCodeDefinition(itemNo As Long) As codeItem</t>
  </si>
  <si>
    <t xml:space="preserve">    With getCodeDefinition</t>
  </si>
  <si>
    <t xml:space="preserve">        Select Case itemNo</t>
  </si>
  <si>
    <t xml:space="preserve">        Case Else</t>
  </si>
  <si>
    <t xml:space="preserve">            .extension = "missing"</t>
  </si>
  <si>
    <t xml:space="preserve">        End Select</t>
  </si>
  <si>
    <t xml:space="preserve">    End With</t>
  </si>
  <si>
    <t>End Function</t>
  </si>
  <si>
    <t>Public Sub Extract()</t>
  </si>
  <si>
    <t xml:space="preserve">    Dim code_module As codeItem</t>
  </si>
  <si>
    <t xml:space="preserve">    Dim savedPath As String, basePath As String</t>
  </si>
  <si>
    <t xml:space="preserve">    Dim i As Long</t>
  </si>
  <si>
    <t xml:space="preserve">    'check if vbproject accessible</t>
  </si>
  <si>
    <t xml:space="preserve">    If Not project_accessible Then</t>
  </si>
  <si>
    <t xml:space="preserve">        MsgBox "The VBA project cannot be accessed programmatically"</t>
  </si>
  <si>
    <t xml:space="preserve">        Exit Sub</t>
  </si>
  <si>
    <t xml:space="preserve">    End If</t>
  </si>
  <si>
    <t xml:space="preserve">    'check if temp folder acessible</t>
  </si>
  <si>
    <t xml:space="preserve">    i = 0</t>
  </si>
  <si>
    <t xml:space="preserve">    Do While True</t>
  </si>
  <si>
    <t xml:space="preserve">        i = i + 1</t>
  </si>
  <si>
    <t xml:space="preserve">        code_module = getCodeDefinition(i)</t>
  </si>
  <si>
    <t xml:space="preserve">        If code_module.extension = "missing" Then</t>
  </si>
  <si>
    <t xml:space="preserve">            Exit Do</t>
  </si>
  <si>
    <t xml:space="preserve">        Else</t>
  </si>
  <si>
    <t xml:space="preserve">            savedPath = createFile(code_module, basePath)</t>
  </si>
  <si>
    <t xml:space="preserve">            importFile savedPath</t>
  </si>
  <si>
    <t xml:space="preserve">            Kill savedPath</t>
  </si>
  <si>
    <t xml:space="preserve">        End If</t>
  </si>
  <si>
    <t xml:space="preserve">    Loop</t>
  </si>
  <si>
    <t>End Sub</t>
  </si>
  <si>
    <t>Private Function project_accessible() As Boolean</t>
  </si>
  <si>
    <t xml:space="preserve">    On Error Resume Next</t>
  </si>
  <si>
    <t xml:space="preserve">    With ThisWorkbook.VBProject</t>
  </si>
  <si>
    <t xml:space="preserve">        project_accessible = .Protection = vbext_pp_none</t>
  </si>
  <si>
    <t xml:space="preserve">        project_accessible = project_accessible And Err.Number = 0</t>
  </si>
  <si>
    <t>Private Function createFile(definition As codeItem, filePath As Variant) As String</t>
  </si>
  <si>
    <t xml:space="preserve">    Dim codeIndex As Long</t>
  </si>
  <si>
    <t xml:space="preserve">    Dim newFileObj As Object</t>
  </si>
  <si>
    <t xml:space="preserve">    Set newFileObj = CreateObject("ADODB.Stream")</t>
  </si>
  <si>
    <t xml:space="preserve">    newFileObj.Type = TypeBinary</t>
  </si>
  <si>
    <t xml:space="preserve">    'Open the stream and write binary data</t>
  </si>
  <si>
    <t xml:space="preserve">    newFileObj.Open</t>
  </si>
  <si>
    <t xml:space="preserve">    'create file from x64 string</t>
  </si>
  <si>
    <t xml:space="preserve">    With definition</t>
  </si>
  <si>
    <t xml:space="preserve">        Dim bytes() As Byte</t>
  </si>
  <si>
    <t xml:space="preserve">        Dim fullPath As String</t>
  </si>
  <si>
    <t xml:space="preserve">        fullPath = filePath &amp; .module_name &amp; .extension</t>
  </si>
  <si>
    <t xml:space="preserve">        newFileObj.Write bytes</t>
  </si>
  <si>
    <t xml:space="preserve">        newFileObj.SaveToFile fullPath, ForWriting</t>
  </si>
  <si>
    <t xml:space="preserve">        createFile = fullPath</t>
  </si>
  <si>
    <t>Private Sub importFile(filePath As String)</t>
  </si>
  <si>
    <t xml:space="preserve">    ThisWorkbook.VBProject.VBComponents.Import filePath</t>
  </si>
  <si>
    <t>Private Function removemodule(moduleName As String) As Boolean</t>
  </si>
  <si>
    <t xml:space="preserve">    With ThisWorkbook.VBProject.VBComponents</t>
  </si>
  <si>
    <t xml:space="preserve">        .Remove .Item(moduleName)</t>
  </si>
  <si>
    <t xml:space="preserve">    removemodule = Not (Err.Number = 9)</t>
  </si>
  <si>
    <t>Column1</t>
  </si>
  <si>
    <t>Column2</t>
  </si>
  <si>
    <t>Column12</t>
  </si>
  <si>
    <t xml:space="preserve">    removemodule "{1}"</t>
  </si>
  <si>
    <t xml:space="preserve">            '{0}</t>
  </si>
  <si>
    <t xml:space="preserve">    Dim Out() As Byte</t>
  </si>
  <si>
    <t xml:space="preserve">    Dim b64(0 To 255) As Byte, str() As Byte, i&amp;, j&amp;, v&amp;, b0&amp;, b1&amp;, b2&amp;, b3&amp;</t>
  </si>
  <si>
    <t xml:space="preserve">    Out = ""</t>
  </si>
  <si>
    <t xml:space="preserve">    If Len(Text) Then Else Exit Function</t>
  </si>
  <si>
    <t xml:space="preserve">    str = " ABCDEFGHIJKLMNOPQRSTUVWXYZabcdefghijklmnopqrstuvwxyz0123456789+/"</t>
  </si>
  <si>
    <t xml:space="preserve">    For i = 2 To UBound(str) Step 2</t>
  </si>
  <si>
    <t xml:space="preserve">        b64(str(i)) = i \ 2</t>
  </si>
  <si>
    <t xml:space="preserve">    Next</t>
  </si>
  <si>
    <t xml:space="preserve">    ReDim Out(0 To ((Len(Text) + 3) \ 4) * 3 - 1)</t>
  </si>
  <si>
    <t xml:space="preserve">    str = Text &amp; String$(2, 0)</t>
  </si>
  <si>
    <t xml:space="preserve">    For i = 0 To UBound(str) - 7 Step 2</t>
  </si>
  <si>
    <t xml:space="preserve">        b0 = b64(str(i))</t>
  </si>
  <si>
    <t xml:space="preserve">        If b0 Then</t>
  </si>
  <si>
    <t xml:space="preserve">            b1 = b64(str(i + 2))</t>
  </si>
  <si>
    <t xml:space="preserve">            b2 = b64(str(i + 4))</t>
  </si>
  <si>
    <t xml:space="preserve">            b3 = b64(str(i + 6))</t>
  </si>
  <si>
    <t xml:space="preserve">            v = b0 * 262144 + b1 * 4096&amp; + b2 * 64&amp; + b3 - 266305</t>
  </si>
  <si>
    <t xml:space="preserve">            Out(j) = v \ 65536</t>
  </si>
  <si>
    <t xml:space="preserve">            Out(j + 1) = (v \ 256&amp;) Mod 256</t>
  </si>
  <si>
    <t xml:space="preserve">            Out(j + 2) = v Mod 256</t>
  </si>
  <si>
    <t xml:space="preserve">            j = j + 3</t>
  </si>
  <si>
    <t xml:space="preserve">            i = i + 6</t>
  </si>
  <si>
    <t xml:space="preserve">    If b2 = 0 Then</t>
  </si>
  <si>
    <t xml:space="preserve">        Out(j - 3) = (v + 65) \ 65536</t>
  </si>
  <si>
    <t xml:space="preserve">        j = j - 2</t>
  </si>
  <si>
    <t xml:space="preserve">    ElseIf b3 = 0 Then</t>
  </si>
  <si>
    <t xml:space="preserve">        Out(j - 3) = (v + 1) \ 65536</t>
  </si>
  <si>
    <t xml:space="preserve">        Out(j - 2) = ((v + 1) \ 256&amp;) Mod 256</t>
  </si>
  <si>
    <t xml:space="preserve">        j = j - 1</t>
  </si>
  <si>
    <t xml:space="preserve">    ReDim Preserve Out(j - 1)</t>
  </si>
  <si>
    <t xml:space="preserve">    FromBase64 = Out</t>
  </si>
  <si>
    <t>Private Function FromBase64(Text As String) As Byte()</t>
  </si>
  <si>
    <t xml:space="preserve">    code_content() As String</t>
  </si>
  <si>
    <t xml:space="preserve">    basePath = Environ$("Temp") &amp; "\"</t>
  </si>
  <si>
    <t xml:space="preserve">        bytes = FromBase64(Join(.code_content))</t>
  </si>
  <si>
    <t>myForm.codeModule.InsertLines 1, "Private Sub UserForm_Initialize()"</t>
  </si>
  <si>
    <t>myForm.codeModule.InsertLines 2, "   me.lst_1.addItem ""Data 1"" "</t>
  </si>
  <si>
    <t>myForm.codeModule.InsertLines 3, "   me.lst_1.addItem ""Data 2"" "</t>
  </si>
  <si>
    <t>myForm.codeModule.InsertLines 4, "   me.lst_1.addItem ""Data 3"" "</t>
  </si>
  <si>
    <t>myForm.codeModule.InsertLines 5, "End Sub"</t>
  </si>
  <si>
    <t>myForm.codeModule.InsertLines 6, "Private Sub cmd_1_Click()"</t>
  </si>
  <si>
    <t>myForm.codeModule.InsertLines 7, "   If me.lst_1.text &lt;&gt;"""" Then"</t>
  </si>
  <si>
    <t>myForm.codeModule.InsertLines 8, "      msgbox (""You selected item: "" &amp; me.lst_1.text )"</t>
  </si>
  <si>
    <t>myForm.codeModule.InsertLines 9, "   End If"</t>
  </si>
  <si>
    <t>Column3</t>
  </si>
  <si>
    <t>Column4</t>
  </si>
  <si>
    <t>myForm.codeModule.InsertLines 10,"End Sub"</t>
  </si>
  <si>
    <t>Private Sub UserForm_Initialize()</t>
  </si>
  <si>
    <t xml:space="preserve">   me.lst_1.addItem "Data 1" </t>
  </si>
  <si>
    <t xml:space="preserve">   me.lst_1.addItem "Data 2" </t>
  </si>
  <si>
    <t xml:space="preserve">   me.lst_1.addItem "Data 3" </t>
  </si>
  <si>
    <t>Private Sub cmd_1_Click()</t>
  </si>
  <si>
    <t xml:space="preserve">   If me.lst_1.text &lt;&gt;"" Then</t>
  </si>
  <si>
    <t xml:space="preserve">      msgbox ("You selected item: " &amp; me.lst_1.text )</t>
  </si>
  <si>
    <t xml:space="preserve">   End If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</si>
</sst>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0" fontId="0" fillId="0" borderId="0" xfId="0" applyNumberFormat="1"/>
    <xf numFmtId="0" fontId="0" fillId="0" borderId="0" xfId="0" applyAlignment="1">
      <alignment wrapText="1"/>
    </xf>
  </cellXfs>
  <cellStyles count="1">
    <cellStyle name="Normal" xfId="0" builtinId="0"/>
  </cellStyles>
  <dxfs count="6">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0F2397-67FC-4975-A52E-ACBC1834EB9D}" name="Table1" displayName="Table1" ref="A1:C129" totalsRowCount="1">
  <autoFilter ref="A1:C128" xr:uid="{25FFC601-E70C-455A-9744-BEB704DBC99E}"/>
  <tableColumns count="3">
    <tableColumn id="1" xr3:uid="{F714B07D-E47F-4A04-AF05-B2EEE02E58E2}" name="Column1"/>
    <tableColumn id="3" xr3:uid="{E5BD4D1A-1698-45CA-96D0-CBDC41D7E266}" name="Column12" dataDxfId="5">
      <calculatedColumnFormula>SUBSTITUTE(Table1[[#This Row],[Column1]],"""","""""")</calculatedColumnFormula>
    </tableColumn>
    <tableColumn id="2" xr3:uid="{2D25B8F6-CC2D-4AE8-A2CF-CBB7F99C14BA}" name="Column2" totalsRowFunction="custom" dataDxfId="4" totalsRowDxfId="3">
      <calculatedColumnFormula>_xlfn.CONCAT(".InsertLines ",ROW()-1,",""",Table1[[#This Row],[Column12]],"""")</calculatedColumnFormula>
      <totalsRowFormula>_xlfn.TEXTJOIN(CHAR(10),TRUE,Table1[Column2])</totalsRow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3BDE94-4450-425E-9C85-D0F0EA028778}" name="Table2" displayName="Table2" ref="A1:D11" totalsRowShown="0">
  <autoFilter ref="A1:D11" xr:uid="{988D850F-E5F2-4909-92B7-2FC2E8851D5B}"/>
  <tableColumns count="4">
    <tableColumn id="1" xr3:uid="{AE4BBE46-A130-4F92-A035-B9489D1D3E12}" name="Column1"/>
    <tableColumn id="2" xr3:uid="{8C938E70-8981-4A24-B60E-A0902F426919}" name="Column2" dataDxfId="2">
      <calculatedColumnFormula>RIGHT(Table2[[#This Row],[Column1]],LEN(Table2[[#This Row],[Column1]])-34)</calculatedColumnFormula>
    </tableColumn>
    <tableColumn id="3" xr3:uid="{A6ADEBC3-BE50-4445-993A-31BE32C8C7E2}" name="Column3" dataDxfId="1">
      <calculatedColumnFormula>LEFT(Table2[[#This Row],[Column2]],LEN(Table2[[#This Row],[Column2]])-1)</calculatedColumnFormula>
    </tableColumn>
    <tableColumn id="4" xr3:uid="{100AE70F-C974-4C1C-A828-DF9FBF941B3F}" name="Column4"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B3E715-7A23-499C-8F2B-7B230CEDF1A9}">
  <sheetPr codeName="Sheet2"/>
  <dimension ref="A1:H129"/>
  <sheetViews>
    <sheetView topLeftCell="A108" workbookViewId="0">
      <selection activeCell="C129" sqref="C129"/>
    </sheetView>
  </sheetViews>
  <sheetFormatPr defaultRowHeight="15" x14ac:dyDescent="0.25"/>
  <cols>
    <col min="1" max="1" width="11" customWidth="1"/>
    <col min="2" max="2" width="74.140625" bestFit="1" customWidth="1"/>
    <col min="8" max="8" width="255.7109375" bestFit="1" customWidth="1"/>
    <col min="13" max="13" width="9.140625" customWidth="1"/>
  </cols>
  <sheetData>
    <row r="1" spans="1:3" x14ac:dyDescent="0.25">
      <c r="A1" t="s">
        <v>64</v>
      </c>
      <c r="B1" t="s">
        <v>66</v>
      </c>
      <c r="C1" t="s">
        <v>65</v>
      </c>
    </row>
    <row r="2" spans="1:3" x14ac:dyDescent="0.25">
      <c r="A2" t="s">
        <v>0</v>
      </c>
      <c r="B2" t="str">
        <f>SUBSTITUTE(Table1[[#This Row],[Column1]],"""","""""")</f>
        <v>Option Explicit</v>
      </c>
      <c r="C2" t="str">
        <f>_xlfn.CONCAT(".InsertLines ",ROW()-1,",""",Table1[[#This Row],[Column12]],"""")</f>
        <v>.InsertLines 1,"Option Explicit"</v>
      </c>
    </row>
    <row r="3" spans="1:3" x14ac:dyDescent="0.25">
      <c r="A3" t="s">
        <v>1</v>
      </c>
      <c r="B3" t="str">
        <f>SUBSTITUTE(Table1[[#This Row],[Column1]],"""","""""")</f>
        <v>Private Type codeItem</v>
      </c>
      <c r="C3" t="str">
        <f>_xlfn.CONCAT(".InsertLines ",ROW()-1,",""",Table1[[#This Row],[Column12]],"""")</f>
        <v>.InsertLines 2,"Private Type codeItem"</v>
      </c>
    </row>
    <row r="4" spans="1:3" x14ac:dyDescent="0.25">
      <c r="A4" t="s">
        <v>2</v>
      </c>
      <c r="B4" t="str">
        <f>SUBSTITUTE(Table1[[#This Row],[Column1]],"""","""""")</f>
        <v xml:space="preserve">    extension As String</v>
      </c>
      <c r="C4" t="str">
        <f>_xlfn.CONCAT(".InsertLines ",ROW()-1,",""",Table1[[#This Row],[Column12]],"""")</f>
        <v>.InsertLines 3,"    extension As String"</v>
      </c>
    </row>
    <row r="5" spans="1:3" x14ac:dyDescent="0.25">
      <c r="A5" t="s">
        <v>3</v>
      </c>
      <c r="B5" t="str">
        <f>SUBSTITUTE(Table1[[#This Row],[Column1]],"""","""""")</f>
        <v xml:space="preserve">    module_name As String</v>
      </c>
      <c r="C5" t="str">
        <f>_xlfn.CONCAT(".InsertLines ",ROW()-1,",""",Table1[[#This Row],[Column12]],"""")</f>
        <v>.InsertLines 4,"    module_name As String"</v>
      </c>
    </row>
    <row r="6" spans="1:3" x14ac:dyDescent="0.25">
      <c r="A6" t="s">
        <v>101</v>
      </c>
      <c r="B6" t="str">
        <f>SUBSTITUTE(Table1[[#This Row],[Column1]],"""","""""")</f>
        <v xml:space="preserve">    code_content() As String</v>
      </c>
      <c r="C6" t="str">
        <f>_xlfn.CONCAT(".InsertLines ",ROW()-1,",""",Table1[[#This Row],[Column12]],"""")</f>
        <v>.InsertLines 5,"    code_content() As String"</v>
      </c>
    </row>
    <row r="7" spans="1:3" x14ac:dyDescent="0.25">
      <c r="A7" t="s">
        <v>4</v>
      </c>
      <c r="B7" t="str">
        <f>SUBSTITUTE(Table1[[#This Row],[Column1]],"""","""""")</f>
        <v>End Type</v>
      </c>
      <c r="C7" t="str">
        <f>_xlfn.CONCAT(".InsertLines ",ROW()-1,",""",Table1[[#This Row],[Column12]],"""")</f>
        <v>.InsertLines 6,"End Type"</v>
      </c>
    </row>
    <row r="8" spans="1:3" x14ac:dyDescent="0.25">
      <c r="B8" t="str">
        <f>SUBSTITUTE(Table1[[#This Row],[Column1]],"""","""""")</f>
        <v/>
      </c>
      <c r="C8" t="str">
        <f>_xlfn.CONCAT(".InsertLines ",ROW()-1,",""",Table1[[#This Row],[Column12]],"""")</f>
        <v>.InsertLines 7,""</v>
      </c>
    </row>
    <row r="9" spans="1:3" x14ac:dyDescent="0.25">
      <c r="A9" t="s">
        <v>5</v>
      </c>
      <c r="B9" t="str">
        <f>SUBSTITUTE(Table1[[#This Row],[Column1]],"""","""""")</f>
        <v>Private Const TypeBinary = 1</v>
      </c>
      <c r="C9" t="str">
        <f>_xlfn.CONCAT(".InsertLines ",ROW()-1,",""",Table1[[#This Row],[Column12]],"""")</f>
        <v>.InsertLines 8,"Private Const TypeBinary = 1"</v>
      </c>
    </row>
    <row r="10" spans="1:3" x14ac:dyDescent="0.25">
      <c r="A10" t="s">
        <v>6</v>
      </c>
      <c r="B10" t="str">
        <f>SUBSTITUTE(Table1[[#This Row],[Column1]],"""","""""")</f>
        <v>Private Const ForReading = 1, ForWriting = 2, ForAppending = 8</v>
      </c>
      <c r="C10" t="str">
        <f>_xlfn.CONCAT(".InsertLines ",ROW()-1,",""",Table1[[#This Row],[Column12]],"""")</f>
        <v>.InsertLines 9,"Private Const ForReading = 1, ForWriting = 2, ForAppending = 8"</v>
      </c>
    </row>
    <row r="11" spans="1:3" x14ac:dyDescent="0.25">
      <c r="B11" t="str">
        <f>SUBSTITUTE(Table1[[#This Row],[Column1]],"""","""""")</f>
        <v/>
      </c>
      <c r="C11" t="str">
        <f>_xlfn.CONCAT(".InsertLines ",ROW()-1,",""",Table1[[#This Row],[Column12]],"""")</f>
        <v>.InsertLines 10,""</v>
      </c>
    </row>
    <row r="12" spans="1:3" x14ac:dyDescent="0.25">
      <c r="A12" t="s">
        <v>7</v>
      </c>
      <c r="B12" t="str">
        <f>SUBSTITUTE(Table1[[#This Row],[Column1]],"""","""""")</f>
        <v>Private Function getCodeDefinition(itemNo As Long) As codeItem</v>
      </c>
      <c r="C12" t="str">
        <f>_xlfn.CONCAT(".InsertLines ",ROW()-1,",""",Table1[[#This Row],[Column12]],"""")</f>
        <v>.InsertLines 11,"Private Function getCodeDefinition(itemNo As Long) As codeItem"</v>
      </c>
    </row>
    <row r="13" spans="1:3" x14ac:dyDescent="0.25">
      <c r="A13" t="s">
        <v>8</v>
      </c>
      <c r="B13" t="str">
        <f>SUBSTITUTE(Table1[[#This Row],[Column1]],"""","""""")</f>
        <v xml:space="preserve">    With getCodeDefinition</v>
      </c>
      <c r="C13" t="str">
        <f>_xlfn.CONCAT(".InsertLines ",ROW()-1,",""",Table1[[#This Row],[Column12]],"""")</f>
        <v>.InsertLines 12,"    With getCodeDefinition"</v>
      </c>
    </row>
    <row r="14" spans="1:3" x14ac:dyDescent="0.25">
      <c r="A14" t="s">
        <v>9</v>
      </c>
      <c r="B14" t="str">
        <f>SUBSTITUTE(Table1[[#This Row],[Column1]],"""","""""")</f>
        <v xml:space="preserve">        Select Case itemNo</v>
      </c>
      <c r="C14" t="str">
        <f>_xlfn.CONCAT(".InsertLines ",ROW()-1,",""",Table1[[#This Row],[Column12]],"""")</f>
        <v>.InsertLines 13,"        Select Case itemNo"</v>
      </c>
    </row>
    <row r="15" spans="1:3" x14ac:dyDescent="0.25">
      <c r="A15" t="s">
        <v>68</v>
      </c>
      <c r="B15" t="str">
        <f>SUBSTITUTE(Table1[[#This Row],[Column1]],"""","""""")</f>
        <v xml:space="preserve">            '{0}</v>
      </c>
      <c r="C15" t="str">
        <f>_xlfn.CONCAT(".InsertLines ",ROW()-1,",""",Table1[[#This Row],[Column12]],"""")</f>
        <v>.InsertLines 14,"            '{0}"</v>
      </c>
    </row>
    <row r="16" spans="1:3" x14ac:dyDescent="0.25">
      <c r="A16" t="s">
        <v>10</v>
      </c>
      <c r="B16" t="str">
        <f>SUBSTITUTE(Table1[[#This Row],[Column1]],"""","""""")</f>
        <v xml:space="preserve">        Case Else</v>
      </c>
      <c r="C16" t="str">
        <f>_xlfn.CONCAT(".InsertLines ",ROW()-1,",""",Table1[[#This Row],[Column12]],"""")</f>
        <v>.InsertLines 15,"        Case Else"</v>
      </c>
    </row>
    <row r="17" spans="1:3" x14ac:dyDescent="0.25">
      <c r="A17" t="s">
        <v>11</v>
      </c>
      <c r="B17" t="str">
        <f>SUBSTITUTE(Table1[[#This Row],[Column1]],"""","""""")</f>
        <v xml:space="preserve">            .extension = ""missing""</v>
      </c>
      <c r="C17" t="str">
        <f>_xlfn.CONCAT(".InsertLines ",ROW()-1,",""",Table1[[#This Row],[Column12]],"""")</f>
        <v>.InsertLines 16,"            .extension = ""missing"""</v>
      </c>
    </row>
    <row r="18" spans="1:3" x14ac:dyDescent="0.25">
      <c r="A18" t="s">
        <v>12</v>
      </c>
      <c r="B18" t="str">
        <f>SUBSTITUTE(Table1[[#This Row],[Column1]],"""","""""")</f>
        <v xml:space="preserve">        End Select</v>
      </c>
      <c r="C18" t="str">
        <f>_xlfn.CONCAT(".InsertLines ",ROW()-1,",""",Table1[[#This Row],[Column12]],"""")</f>
        <v>.InsertLines 17,"        End Select"</v>
      </c>
    </row>
    <row r="19" spans="1:3" x14ac:dyDescent="0.25">
      <c r="A19" t="s">
        <v>13</v>
      </c>
      <c r="B19" t="str">
        <f>SUBSTITUTE(Table1[[#This Row],[Column1]],"""","""""")</f>
        <v xml:space="preserve">    End With</v>
      </c>
      <c r="C19" t="str">
        <f>_xlfn.CONCAT(".InsertLines ",ROW()-1,",""",Table1[[#This Row],[Column12]],"""")</f>
        <v>.InsertLines 18,"    End With"</v>
      </c>
    </row>
    <row r="20" spans="1:3" x14ac:dyDescent="0.25">
      <c r="A20" t="s">
        <v>14</v>
      </c>
      <c r="B20" t="str">
        <f>SUBSTITUTE(Table1[[#This Row],[Column1]],"""","""""")</f>
        <v>End Function</v>
      </c>
      <c r="C20" t="str">
        <f>_xlfn.CONCAT(".InsertLines ",ROW()-1,",""",Table1[[#This Row],[Column12]],"""")</f>
        <v>.InsertLines 19,"End Function"</v>
      </c>
    </row>
    <row r="21" spans="1:3" x14ac:dyDescent="0.25">
      <c r="B21" t="str">
        <f>SUBSTITUTE(Table1[[#This Row],[Column1]],"""","""""")</f>
        <v/>
      </c>
      <c r="C21" t="str">
        <f>_xlfn.CONCAT(".InsertLines ",ROW()-1,",""",Table1[[#This Row],[Column12]],"""")</f>
        <v>.InsertLines 20,""</v>
      </c>
    </row>
    <row r="22" spans="1:3" x14ac:dyDescent="0.25">
      <c r="A22" t="s">
        <v>15</v>
      </c>
      <c r="B22" t="str">
        <f>SUBSTITUTE(Table1[[#This Row],[Column1]],"""","""""")</f>
        <v>Public Sub Extract()</v>
      </c>
      <c r="C22" t="str">
        <f>_xlfn.CONCAT(".InsertLines ",ROW()-1,",""",Table1[[#This Row],[Column12]],"""")</f>
        <v>.InsertLines 21,"Public Sub Extract()"</v>
      </c>
    </row>
    <row r="23" spans="1:3" x14ac:dyDescent="0.25">
      <c r="A23" t="s">
        <v>16</v>
      </c>
      <c r="B23" t="str">
        <f>SUBSTITUTE(Table1[[#This Row],[Column1]],"""","""""")</f>
        <v xml:space="preserve">    Dim code_module As codeItem</v>
      </c>
      <c r="C23" t="str">
        <f>_xlfn.CONCAT(".InsertLines ",ROW()-1,",""",Table1[[#This Row],[Column12]],"""")</f>
        <v>.InsertLines 22,"    Dim code_module As codeItem"</v>
      </c>
    </row>
    <row r="24" spans="1:3" x14ac:dyDescent="0.25">
      <c r="A24" t="s">
        <v>17</v>
      </c>
      <c r="B24" t="str">
        <f>SUBSTITUTE(Table1[[#This Row],[Column1]],"""","""""")</f>
        <v xml:space="preserve">    Dim savedPath As String, basePath As String</v>
      </c>
      <c r="C24" t="str">
        <f>_xlfn.CONCAT(".InsertLines ",ROW()-1,",""",Table1[[#This Row],[Column12]],"""")</f>
        <v>.InsertLines 23,"    Dim savedPath As String, basePath As String"</v>
      </c>
    </row>
    <row r="25" spans="1:3" x14ac:dyDescent="0.25">
      <c r="A25" t="s">
        <v>18</v>
      </c>
      <c r="B25" t="str">
        <f>SUBSTITUTE(Table1[[#This Row],[Column1]],"""","""""")</f>
        <v xml:space="preserve">    Dim i As Long</v>
      </c>
      <c r="C25" t="str">
        <f>_xlfn.CONCAT(".InsertLines ",ROW()-1,",""",Table1[[#This Row],[Column12]],"""")</f>
        <v>.InsertLines 24,"    Dim i As Long"</v>
      </c>
    </row>
    <row r="26" spans="1:3" x14ac:dyDescent="0.25">
      <c r="A26" t="s">
        <v>19</v>
      </c>
      <c r="B26" t="str">
        <f>SUBSTITUTE(Table1[[#This Row],[Column1]],"""","""""")</f>
        <v xml:space="preserve">    'check if vbproject accessible</v>
      </c>
      <c r="C26" t="str">
        <f>_xlfn.CONCAT(".InsertLines ",ROW()-1,",""",Table1[[#This Row],[Column12]],"""")</f>
        <v>.InsertLines 25,"    'check if vbproject accessible"</v>
      </c>
    </row>
    <row r="27" spans="1:3" x14ac:dyDescent="0.25">
      <c r="A27" t="s">
        <v>20</v>
      </c>
      <c r="B27" t="str">
        <f>SUBSTITUTE(Table1[[#This Row],[Column1]],"""","""""")</f>
        <v xml:space="preserve">    If Not project_accessible Then</v>
      </c>
      <c r="C27" t="str">
        <f>_xlfn.CONCAT(".InsertLines ",ROW()-1,",""",Table1[[#This Row],[Column12]],"""")</f>
        <v>.InsertLines 26,"    If Not project_accessible Then"</v>
      </c>
    </row>
    <row r="28" spans="1:3" x14ac:dyDescent="0.25">
      <c r="A28" t="s">
        <v>21</v>
      </c>
      <c r="B28" t="str">
        <f>SUBSTITUTE(Table1[[#This Row],[Column1]],"""","""""")</f>
        <v xml:space="preserve">        MsgBox ""The VBA project cannot be accessed programmatically""</v>
      </c>
      <c r="C28" t="str">
        <f>_xlfn.CONCAT(".InsertLines ",ROW()-1,",""",Table1[[#This Row],[Column12]],"""")</f>
        <v>.InsertLines 27,"        MsgBox ""The VBA project cannot be accessed programmatically"""</v>
      </c>
    </row>
    <row r="29" spans="1:3" x14ac:dyDescent="0.25">
      <c r="A29" t="s">
        <v>22</v>
      </c>
      <c r="B29" t="str">
        <f>SUBSTITUTE(Table1[[#This Row],[Column1]],"""","""""")</f>
        <v xml:space="preserve">        Exit Sub</v>
      </c>
      <c r="C29" t="str">
        <f>_xlfn.CONCAT(".InsertLines ",ROW()-1,",""",Table1[[#This Row],[Column12]],"""")</f>
        <v>.InsertLines 28,"        Exit Sub"</v>
      </c>
    </row>
    <row r="30" spans="1:3" x14ac:dyDescent="0.25">
      <c r="A30" t="s">
        <v>23</v>
      </c>
      <c r="B30" t="str">
        <f>SUBSTITUTE(Table1[[#This Row],[Column1]],"""","""""")</f>
        <v xml:space="preserve">    End If</v>
      </c>
      <c r="C30" t="str">
        <f>_xlfn.CONCAT(".InsertLines ",ROW()-1,",""",Table1[[#This Row],[Column12]],"""")</f>
        <v>.InsertLines 29,"    End If"</v>
      </c>
    </row>
    <row r="31" spans="1:3" x14ac:dyDescent="0.25">
      <c r="A31" t="s">
        <v>24</v>
      </c>
      <c r="B31" t="str">
        <f>SUBSTITUTE(Table1[[#This Row],[Column1]],"""","""""")</f>
        <v xml:space="preserve">    'check if temp folder acessible</v>
      </c>
      <c r="C31" t="str">
        <f>_xlfn.CONCAT(".InsertLines ",ROW()-1,",""",Table1[[#This Row],[Column12]],"""")</f>
        <v>.InsertLines 30,"    'check if temp folder acessible"</v>
      </c>
    </row>
    <row r="32" spans="1:3" x14ac:dyDescent="0.25">
      <c r="A32" t="s">
        <v>25</v>
      </c>
      <c r="B32" t="str">
        <f>SUBSTITUTE(Table1[[#This Row],[Column1]],"""","""""")</f>
        <v xml:space="preserve">    i = 0</v>
      </c>
      <c r="C32" t="str">
        <f>_xlfn.CONCAT(".InsertLines ",ROW()-1,",""",Table1[[#This Row],[Column12]],"""")</f>
        <v>.InsertLines 31,"    i = 0"</v>
      </c>
    </row>
    <row r="33" spans="1:3" x14ac:dyDescent="0.25">
      <c r="A33" t="s">
        <v>102</v>
      </c>
      <c r="B33" t="str">
        <f>SUBSTITUTE(Table1[[#This Row],[Column1]],"""","""""")</f>
        <v xml:space="preserve">    basePath = Environ$(""Temp"") &amp; ""\""</v>
      </c>
      <c r="C33" t="str">
        <f>_xlfn.CONCAT(".InsertLines ",ROW()-1,",""",Table1[[#This Row],[Column12]],"""")</f>
        <v>.InsertLines 32,"    basePath = Environ$(""Temp"") &amp; ""\"""</v>
      </c>
    </row>
    <row r="34" spans="1:3" x14ac:dyDescent="0.25">
      <c r="A34" t="s">
        <v>26</v>
      </c>
      <c r="B34" t="str">
        <f>SUBSTITUTE(Table1[[#This Row],[Column1]],"""","""""")</f>
        <v xml:space="preserve">    Do While True</v>
      </c>
      <c r="C34" t="str">
        <f>_xlfn.CONCAT(".InsertLines ",ROW()-1,",""",Table1[[#This Row],[Column12]],"""")</f>
        <v>.InsertLines 33,"    Do While True"</v>
      </c>
    </row>
    <row r="35" spans="1:3" x14ac:dyDescent="0.25">
      <c r="A35" t="s">
        <v>27</v>
      </c>
      <c r="B35" t="str">
        <f>SUBSTITUTE(Table1[[#This Row],[Column1]],"""","""""")</f>
        <v xml:space="preserve">        i = i + 1</v>
      </c>
      <c r="C35" t="str">
        <f>_xlfn.CONCAT(".InsertLines ",ROW()-1,",""",Table1[[#This Row],[Column12]],"""")</f>
        <v>.InsertLines 34,"        i = i + 1"</v>
      </c>
    </row>
    <row r="36" spans="1:3" x14ac:dyDescent="0.25">
      <c r="A36" t="s">
        <v>28</v>
      </c>
      <c r="B36" t="str">
        <f>SUBSTITUTE(Table1[[#This Row],[Column1]],"""","""""")</f>
        <v xml:space="preserve">        code_module = getCodeDefinition(i)</v>
      </c>
      <c r="C36" t="str">
        <f>_xlfn.CONCAT(".InsertLines ",ROW()-1,",""",Table1[[#This Row],[Column12]],"""")</f>
        <v>.InsertLines 35,"        code_module = getCodeDefinition(i)"</v>
      </c>
    </row>
    <row r="37" spans="1:3" x14ac:dyDescent="0.25">
      <c r="A37" t="s">
        <v>29</v>
      </c>
      <c r="B37" t="str">
        <f>SUBSTITUTE(Table1[[#This Row],[Column1]],"""","""""")</f>
        <v xml:space="preserve">        If code_module.extension = ""missing"" Then</v>
      </c>
      <c r="C37" t="str">
        <f>_xlfn.CONCAT(".InsertLines ",ROW()-1,",""",Table1[[#This Row],[Column12]],"""")</f>
        <v>.InsertLines 36,"        If code_module.extension = ""missing"" Then"</v>
      </c>
    </row>
    <row r="38" spans="1:3" x14ac:dyDescent="0.25">
      <c r="A38" t="s">
        <v>30</v>
      </c>
      <c r="B38" t="str">
        <f>SUBSTITUTE(Table1[[#This Row],[Column1]],"""","""""")</f>
        <v xml:space="preserve">            Exit Do</v>
      </c>
      <c r="C38" t="str">
        <f>_xlfn.CONCAT(".InsertLines ",ROW()-1,",""",Table1[[#This Row],[Column12]],"""")</f>
        <v>.InsertLines 37,"            Exit Do"</v>
      </c>
    </row>
    <row r="39" spans="1:3" x14ac:dyDescent="0.25">
      <c r="A39" t="s">
        <v>31</v>
      </c>
      <c r="B39" t="str">
        <f>SUBSTITUTE(Table1[[#This Row],[Column1]],"""","""""")</f>
        <v xml:space="preserve">        Else</v>
      </c>
      <c r="C39" t="str">
        <f>_xlfn.CONCAT(".InsertLines ",ROW()-1,",""",Table1[[#This Row],[Column12]],"""")</f>
        <v>.InsertLines 38,"        Else"</v>
      </c>
    </row>
    <row r="40" spans="1:3" x14ac:dyDescent="0.25">
      <c r="A40" t="s">
        <v>32</v>
      </c>
      <c r="B40" t="str">
        <f>SUBSTITUTE(Table1[[#This Row],[Column1]],"""","""""")</f>
        <v xml:space="preserve">            savedPath = createFile(code_module, basePath)</v>
      </c>
      <c r="C40" t="str">
        <f>_xlfn.CONCAT(".InsertLines ",ROW()-1,",""",Table1[[#This Row],[Column12]],"""")</f>
        <v>.InsertLines 39,"            savedPath = createFile(code_module, basePath)"</v>
      </c>
    </row>
    <row r="41" spans="1:3" x14ac:dyDescent="0.25">
      <c r="A41" t="s">
        <v>33</v>
      </c>
      <c r="B41" t="str">
        <f>SUBSTITUTE(Table1[[#This Row],[Column1]],"""","""""")</f>
        <v xml:space="preserve">            importFile savedPath</v>
      </c>
      <c r="C41" t="str">
        <f>_xlfn.CONCAT(".InsertLines ",ROW()-1,",""",Table1[[#This Row],[Column12]],"""")</f>
        <v>.InsertLines 40,"            importFile savedPath"</v>
      </c>
    </row>
    <row r="42" spans="1:3" x14ac:dyDescent="0.25">
      <c r="A42" t="s">
        <v>34</v>
      </c>
      <c r="B42" t="str">
        <f>SUBSTITUTE(Table1[[#This Row],[Column1]],"""","""""")</f>
        <v xml:space="preserve">            Kill savedPath</v>
      </c>
      <c r="C42" t="str">
        <f>_xlfn.CONCAT(".InsertLines ",ROW()-1,",""",Table1[[#This Row],[Column12]],"""")</f>
        <v>.InsertLines 41,"            Kill savedPath"</v>
      </c>
    </row>
    <row r="43" spans="1:3" x14ac:dyDescent="0.25">
      <c r="A43" t="s">
        <v>35</v>
      </c>
      <c r="B43" t="str">
        <f>SUBSTITUTE(Table1[[#This Row],[Column1]],"""","""""")</f>
        <v xml:space="preserve">        End If</v>
      </c>
      <c r="C43" t="str">
        <f>_xlfn.CONCAT(".InsertLines ",ROW()-1,",""",Table1[[#This Row],[Column12]],"""")</f>
        <v>.InsertLines 42,"        End If"</v>
      </c>
    </row>
    <row r="44" spans="1:3" x14ac:dyDescent="0.25">
      <c r="A44" t="s">
        <v>36</v>
      </c>
      <c r="B44" t="str">
        <f>SUBSTITUTE(Table1[[#This Row],[Column1]],"""","""""")</f>
        <v xml:space="preserve">    Loop</v>
      </c>
      <c r="C44" t="str">
        <f>_xlfn.CONCAT(".InsertLines ",ROW()-1,",""",Table1[[#This Row],[Column12]],"""")</f>
        <v>.InsertLines 43,"    Loop"</v>
      </c>
    </row>
    <row r="45" spans="1:3" x14ac:dyDescent="0.25">
      <c r="A45" t="s">
        <v>67</v>
      </c>
      <c r="B45" t="str">
        <f>SUBSTITUTE(Table1[[#This Row],[Column1]],"""","""""")</f>
        <v xml:space="preserve">    removemodule ""{1}""</v>
      </c>
      <c r="C45" t="str">
        <f>_xlfn.CONCAT(".InsertLines ",ROW()-1,",""",Table1[[#This Row],[Column12]],"""")</f>
        <v>.InsertLines 44,"    removemodule ""{1}"""</v>
      </c>
    </row>
    <row r="46" spans="1:3" x14ac:dyDescent="0.25">
      <c r="A46" t="s">
        <v>37</v>
      </c>
      <c r="B46" t="str">
        <f>SUBSTITUTE(Table1[[#This Row],[Column1]],"""","""""")</f>
        <v>End Sub</v>
      </c>
      <c r="C46" t="str">
        <f>_xlfn.CONCAT(".InsertLines ",ROW()-1,",""",Table1[[#This Row],[Column12]],"""")</f>
        <v>.InsertLines 45,"End Sub"</v>
      </c>
    </row>
    <row r="47" spans="1:3" x14ac:dyDescent="0.25">
      <c r="B47" t="str">
        <f>SUBSTITUTE(Table1[[#This Row],[Column1]],"""","""""")</f>
        <v/>
      </c>
      <c r="C47" t="str">
        <f>_xlfn.CONCAT(".InsertLines ",ROW()-1,",""",Table1[[#This Row],[Column12]],"""")</f>
        <v>.InsertLines 46,""</v>
      </c>
    </row>
    <row r="48" spans="1:3" x14ac:dyDescent="0.25">
      <c r="A48" t="s">
        <v>38</v>
      </c>
      <c r="B48" t="str">
        <f>SUBSTITUTE(Table1[[#This Row],[Column1]],"""","""""")</f>
        <v>Private Function project_accessible() As Boolean</v>
      </c>
      <c r="C48" t="str">
        <f>_xlfn.CONCAT(".InsertLines ",ROW()-1,",""",Table1[[#This Row],[Column12]],"""")</f>
        <v>.InsertLines 47,"Private Function project_accessible() As Boolean"</v>
      </c>
    </row>
    <row r="49" spans="1:3" x14ac:dyDescent="0.25">
      <c r="A49" t="s">
        <v>39</v>
      </c>
      <c r="B49" t="str">
        <f>SUBSTITUTE(Table1[[#This Row],[Column1]],"""","""""")</f>
        <v xml:space="preserve">    On Error Resume Next</v>
      </c>
      <c r="C49" t="str">
        <f>_xlfn.CONCAT(".InsertLines ",ROW()-1,",""",Table1[[#This Row],[Column12]],"""")</f>
        <v>.InsertLines 48,"    On Error Resume Next"</v>
      </c>
    </row>
    <row r="50" spans="1:3" x14ac:dyDescent="0.25">
      <c r="A50" t="s">
        <v>40</v>
      </c>
      <c r="B50" t="str">
        <f>SUBSTITUTE(Table1[[#This Row],[Column1]],"""","""""")</f>
        <v xml:space="preserve">    With ThisWorkbook.VBProject</v>
      </c>
      <c r="C50" t="str">
        <f>_xlfn.CONCAT(".InsertLines ",ROW()-1,",""",Table1[[#This Row],[Column12]],"""")</f>
        <v>.InsertLines 49,"    With ThisWorkbook.VBProject"</v>
      </c>
    </row>
    <row r="51" spans="1:3" x14ac:dyDescent="0.25">
      <c r="A51" t="s">
        <v>41</v>
      </c>
      <c r="B51" t="str">
        <f>SUBSTITUTE(Table1[[#This Row],[Column1]],"""","""""")</f>
        <v xml:space="preserve">        project_accessible = .Protection = vbext_pp_none</v>
      </c>
      <c r="C51" t="str">
        <f>_xlfn.CONCAT(".InsertLines ",ROW()-1,",""",Table1[[#This Row],[Column12]],"""")</f>
        <v>.InsertLines 50,"        project_accessible = .Protection = vbext_pp_none"</v>
      </c>
    </row>
    <row r="52" spans="1:3" x14ac:dyDescent="0.25">
      <c r="A52" t="s">
        <v>42</v>
      </c>
      <c r="B52" t="str">
        <f>SUBSTITUTE(Table1[[#This Row],[Column1]],"""","""""")</f>
        <v xml:space="preserve">        project_accessible = project_accessible And Err.Number = 0</v>
      </c>
      <c r="C52" t="str">
        <f>_xlfn.CONCAT(".InsertLines ",ROW()-1,",""",Table1[[#This Row],[Column12]],"""")</f>
        <v>.InsertLines 51,"        project_accessible = project_accessible And Err.Number = 0"</v>
      </c>
    </row>
    <row r="53" spans="1:3" x14ac:dyDescent="0.25">
      <c r="A53" t="s">
        <v>13</v>
      </c>
      <c r="B53" t="str">
        <f>SUBSTITUTE(Table1[[#This Row],[Column1]],"""","""""")</f>
        <v xml:space="preserve">    End With</v>
      </c>
      <c r="C53" t="str">
        <f>_xlfn.CONCAT(".InsertLines ",ROW()-1,",""",Table1[[#This Row],[Column12]],"""")</f>
        <v>.InsertLines 52,"    End With"</v>
      </c>
    </row>
    <row r="54" spans="1:3" x14ac:dyDescent="0.25">
      <c r="A54" t="s">
        <v>14</v>
      </c>
      <c r="B54" t="str">
        <f>SUBSTITUTE(Table1[[#This Row],[Column1]],"""","""""")</f>
        <v>End Function</v>
      </c>
      <c r="C54" t="str">
        <f>_xlfn.CONCAT(".InsertLines ",ROW()-1,",""",Table1[[#This Row],[Column12]],"""")</f>
        <v>.InsertLines 53,"End Function"</v>
      </c>
    </row>
    <row r="55" spans="1:3" x14ac:dyDescent="0.25">
      <c r="B55" t="str">
        <f>SUBSTITUTE(Table1[[#This Row],[Column1]],"""","""""")</f>
        <v/>
      </c>
      <c r="C55" t="str">
        <f>_xlfn.CONCAT(".InsertLines ",ROW()-1,",""",Table1[[#This Row],[Column12]],"""")</f>
        <v>.InsertLines 54,""</v>
      </c>
    </row>
    <row r="56" spans="1:3" x14ac:dyDescent="0.25">
      <c r="A56" t="s">
        <v>43</v>
      </c>
      <c r="B56" t="str">
        <f>SUBSTITUTE(Table1[[#This Row],[Column1]],"""","""""")</f>
        <v>Private Function createFile(definition As codeItem, filePath As Variant) As String</v>
      </c>
      <c r="C56" t="str">
        <f>_xlfn.CONCAT(".InsertLines ",ROW()-1,",""",Table1[[#This Row],[Column12]],"""")</f>
        <v>.InsertLines 55,"Private Function createFile(definition As codeItem, filePath As Variant) As String"</v>
      </c>
    </row>
    <row r="57" spans="1:3" x14ac:dyDescent="0.25">
      <c r="A57" t="s">
        <v>44</v>
      </c>
      <c r="B57" t="str">
        <f>SUBSTITUTE(Table1[[#This Row],[Column1]],"""","""""")</f>
        <v xml:space="preserve">    Dim codeIndex As Long</v>
      </c>
      <c r="C57" t="str">
        <f>_xlfn.CONCAT(".InsertLines ",ROW()-1,",""",Table1[[#This Row],[Column12]],"""")</f>
        <v>.InsertLines 56,"    Dim codeIndex As Long"</v>
      </c>
    </row>
    <row r="58" spans="1:3" x14ac:dyDescent="0.25">
      <c r="A58" t="s">
        <v>45</v>
      </c>
      <c r="B58" t="str">
        <f>SUBSTITUTE(Table1[[#This Row],[Column1]],"""","""""")</f>
        <v xml:space="preserve">    Dim newFileObj As Object</v>
      </c>
      <c r="C58" t="str">
        <f>_xlfn.CONCAT(".InsertLines ",ROW()-1,",""",Table1[[#This Row],[Column12]],"""")</f>
        <v>.InsertLines 57,"    Dim newFileObj As Object"</v>
      </c>
    </row>
    <row r="59" spans="1:3" x14ac:dyDescent="0.25">
      <c r="A59" t="s">
        <v>46</v>
      </c>
      <c r="B59" t="str">
        <f>SUBSTITUTE(Table1[[#This Row],[Column1]],"""","""""")</f>
        <v xml:space="preserve">    Set newFileObj = CreateObject(""ADODB.Stream"")</v>
      </c>
      <c r="C59" t="str">
        <f>_xlfn.CONCAT(".InsertLines ",ROW()-1,",""",Table1[[#This Row],[Column12]],"""")</f>
        <v>.InsertLines 58,"    Set newFileObj = CreateObject(""ADODB.Stream"")"</v>
      </c>
    </row>
    <row r="60" spans="1:3" x14ac:dyDescent="0.25">
      <c r="A60" t="s">
        <v>47</v>
      </c>
      <c r="B60" t="str">
        <f>SUBSTITUTE(Table1[[#This Row],[Column1]],"""","""""")</f>
        <v xml:space="preserve">    newFileObj.Type = TypeBinary</v>
      </c>
      <c r="C60" t="str">
        <f>_xlfn.CONCAT(".InsertLines ",ROW()-1,",""",Table1[[#This Row],[Column12]],"""")</f>
        <v>.InsertLines 59,"    newFileObj.Type = TypeBinary"</v>
      </c>
    </row>
    <row r="61" spans="1:3" x14ac:dyDescent="0.25">
      <c r="A61" t="s">
        <v>48</v>
      </c>
      <c r="B61" t="str">
        <f>SUBSTITUTE(Table1[[#This Row],[Column1]],"""","""""")</f>
        <v xml:space="preserve">    'Open the stream and write binary data</v>
      </c>
      <c r="C61" t="str">
        <f>_xlfn.CONCAT(".InsertLines ",ROW()-1,",""",Table1[[#This Row],[Column12]],"""")</f>
        <v>.InsertLines 60,"    'Open the stream and write binary data"</v>
      </c>
    </row>
    <row r="62" spans="1:3" x14ac:dyDescent="0.25">
      <c r="A62" t="s">
        <v>49</v>
      </c>
      <c r="B62" t="str">
        <f>SUBSTITUTE(Table1[[#This Row],[Column1]],"""","""""")</f>
        <v xml:space="preserve">    newFileObj.Open</v>
      </c>
      <c r="C62" t="str">
        <f>_xlfn.CONCAT(".InsertLines ",ROW()-1,",""",Table1[[#This Row],[Column12]],"""")</f>
        <v>.InsertLines 61,"    newFileObj.Open"</v>
      </c>
    </row>
    <row r="63" spans="1:3" x14ac:dyDescent="0.25">
      <c r="A63" t="s">
        <v>50</v>
      </c>
      <c r="B63" t="str">
        <f>SUBSTITUTE(Table1[[#This Row],[Column1]],"""","""""")</f>
        <v xml:space="preserve">    'create file from x64 string</v>
      </c>
      <c r="C63" t="str">
        <f>_xlfn.CONCAT(".InsertLines ",ROW()-1,",""",Table1[[#This Row],[Column12]],"""")</f>
        <v>.InsertLines 62,"    'create file from x64 string"</v>
      </c>
    </row>
    <row r="64" spans="1:3" x14ac:dyDescent="0.25">
      <c r="A64" t="s">
        <v>51</v>
      </c>
      <c r="B64" t="str">
        <f>SUBSTITUTE(Table1[[#This Row],[Column1]],"""","""""")</f>
        <v xml:space="preserve">    With definition</v>
      </c>
      <c r="C64" t="str">
        <f>_xlfn.CONCAT(".InsertLines ",ROW()-1,",""",Table1[[#This Row],[Column12]],"""")</f>
        <v>.InsertLines 63,"    With definition"</v>
      </c>
    </row>
    <row r="65" spans="1:3" x14ac:dyDescent="0.25">
      <c r="A65" t="s">
        <v>52</v>
      </c>
      <c r="B65" t="str">
        <f>SUBSTITUTE(Table1[[#This Row],[Column1]],"""","""""")</f>
        <v xml:space="preserve">        Dim bytes() As Byte</v>
      </c>
      <c r="C65" t="str">
        <f>_xlfn.CONCAT(".InsertLines ",ROW()-1,",""",Table1[[#This Row],[Column12]],"""")</f>
        <v>.InsertLines 64,"        Dim bytes() As Byte"</v>
      </c>
    </row>
    <row r="66" spans="1:3" x14ac:dyDescent="0.25">
      <c r="A66" t="s">
        <v>53</v>
      </c>
      <c r="B66" t="str">
        <f>SUBSTITUTE(Table1[[#This Row],[Column1]],"""","""""")</f>
        <v xml:space="preserve">        Dim fullPath As String</v>
      </c>
      <c r="C66" t="str">
        <f>_xlfn.CONCAT(".InsertLines ",ROW()-1,",""",Table1[[#This Row],[Column12]],"""")</f>
        <v>.InsertLines 65,"        Dim fullPath As String"</v>
      </c>
    </row>
    <row r="67" spans="1:3" x14ac:dyDescent="0.25">
      <c r="A67" t="s">
        <v>54</v>
      </c>
      <c r="B67" t="str">
        <f>SUBSTITUTE(Table1[[#This Row],[Column1]],"""","""""")</f>
        <v xml:space="preserve">        fullPath = filePath &amp; .module_name &amp; .extension</v>
      </c>
      <c r="C67" t="str">
        <f>_xlfn.CONCAT(".InsertLines ",ROW()-1,",""",Table1[[#This Row],[Column12]],"""")</f>
        <v>.InsertLines 66,"        fullPath = filePath &amp; .module_name &amp; .extension"</v>
      </c>
    </row>
    <row r="68" spans="1:3" x14ac:dyDescent="0.25">
      <c r="A68" t="s">
        <v>103</v>
      </c>
      <c r="B68" t="str">
        <f>SUBSTITUTE(Table1[[#This Row],[Column1]],"""","""""")</f>
        <v xml:space="preserve">        bytes = FromBase64(Join(.code_content))</v>
      </c>
      <c r="C68" t="str">
        <f>_xlfn.CONCAT(".InsertLines ",ROW()-1,",""",Table1[[#This Row],[Column12]],"""")</f>
        <v>.InsertLines 67,"        bytes = FromBase64(Join(.code_content))"</v>
      </c>
    </row>
    <row r="69" spans="1:3" x14ac:dyDescent="0.25">
      <c r="A69" t="s">
        <v>55</v>
      </c>
      <c r="B69" t="str">
        <f>SUBSTITUTE(Table1[[#This Row],[Column1]],"""","""""")</f>
        <v xml:space="preserve">        newFileObj.Write bytes</v>
      </c>
      <c r="C69" t="str">
        <f>_xlfn.CONCAT(".InsertLines ",ROW()-1,",""",Table1[[#This Row],[Column12]],"""")</f>
        <v>.InsertLines 68,"        newFileObj.Write bytes"</v>
      </c>
    </row>
    <row r="70" spans="1:3" x14ac:dyDescent="0.25">
      <c r="A70" t="s">
        <v>56</v>
      </c>
      <c r="B70" t="str">
        <f>SUBSTITUTE(Table1[[#This Row],[Column1]],"""","""""")</f>
        <v xml:space="preserve">        newFileObj.SaveToFile fullPath, ForWriting</v>
      </c>
      <c r="C70" t="str">
        <f>_xlfn.CONCAT(".InsertLines ",ROW()-1,",""",Table1[[#This Row],[Column12]],"""")</f>
        <v>.InsertLines 69,"        newFileObj.SaveToFile fullPath, ForWriting"</v>
      </c>
    </row>
    <row r="71" spans="1:3" x14ac:dyDescent="0.25">
      <c r="A71" t="s">
        <v>57</v>
      </c>
      <c r="B71" t="str">
        <f>SUBSTITUTE(Table1[[#This Row],[Column1]],"""","""""")</f>
        <v xml:space="preserve">        createFile = fullPath</v>
      </c>
      <c r="C71" t="str">
        <f>_xlfn.CONCAT(".InsertLines ",ROW()-1,",""",Table1[[#This Row],[Column12]],"""")</f>
        <v>.InsertLines 70,"        createFile = fullPath"</v>
      </c>
    </row>
    <row r="72" spans="1:3" x14ac:dyDescent="0.25">
      <c r="A72" t="s">
        <v>13</v>
      </c>
      <c r="B72" t="str">
        <f>SUBSTITUTE(Table1[[#This Row],[Column1]],"""","""""")</f>
        <v xml:space="preserve">    End With</v>
      </c>
      <c r="C72" t="str">
        <f>_xlfn.CONCAT(".InsertLines ",ROW()-1,",""",Table1[[#This Row],[Column12]],"""")</f>
        <v>.InsertLines 71,"    End With"</v>
      </c>
    </row>
    <row r="73" spans="1:3" x14ac:dyDescent="0.25">
      <c r="A73" t="s">
        <v>14</v>
      </c>
      <c r="B73" t="str">
        <f>SUBSTITUTE(Table1[[#This Row],[Column1]],"""","""""")</f>
        <v>End Function</v>
      </c>
      <c r="C73" t="str">
        <f>_xlfn.CONCAT(".InsertLines ",ROW()-1,",""",Table1[[#This Row],[Column12]],"""")</f>
        <v>.InsertLines 72,"End Function"</v>
      </c>
    </row>
    <row r="74" spans="1:3" x14ac:dyDescent="0.25">
      <c r="B74" t="str">
        <f>SUBSTITUTE(Table1[[#This Row],[Column1]],"""","""""")</f>
        <v/>
      </c>
      <c r="C74" t="str">
        <f>_xlfn.CONCAT(".InsertLines ",ROW()-1,",""",Table1[[#This Row],[Column12]],"""")</f>
        <v>.InsertLines 73,""</v>
      </c>
    </row>
    <row r="75" spans="1:3" x14ac:dyDescent="0.25">
      <c r="A75" t="s">
        <v>58</v>
      </c>
      <c r="B75" t="str">
        <f>SUBSTITUTE(Table1[[#This Row],[Column1]],"""","""""")</f>
        <v>Private Sub importFile(filePath As String)</v>
      </c>
      <c r="C75" t="str">
        <f>_xlfn.CONCAT(".InsertLines ",ROW()-1,",""",Table1[[#This Row],[Column12]],"""")</f>
        <v>.InsertLines 74,"Private Sub importFile(filePath As String)"</v>
      </c>
    </row>
    <row r="76" spans="1:3" x14ac:dyDescent="0.25">
      <c r="A76" t="s">
        <v>59</v>
      </c>
      <c r="B76" t="str">
        <f>SUBSTITUTE(Table1[[#This Row],[Column1]],"""","""""")</f>
        <v xml:space="preserve">    ThisWorkbook.VBProject.VBComponents.Import filePath</v>
      </c>
      <c r="C76" t="str">
        <f>_xlfn.CONCAT(".InsertLines ",ROW()-1,",""",Table1[[#This Row],[Column12]],"""")</f>
        <v>.InsertLines 75,"    ThisWorkbook.VBProject.VBComponents.Import filePath"</v>
      </c>
    </row>
    <row r="77" spans="1:3" x14ac:dyDescent="0.25">
      <c r="A77" t="s">
        <v>37</v>
      </c>
      <c r="B77" t="str">
        <f>SUBSTITUTE(Table1[[#This Row],[Column1]],"""","""""")</f>
        <v>End Sub</v>
      </c>
      <c r="C77" t="str">
        <f>_xlfn.CONCAT(".InsertLines ",ROW()-1,",""",Table1[[#This Row],[Column12]],"""")</f>
        <v>.InsertLines 76,"End Sub"</v>
      </c>
    </row>
    <row r="78" spans="1:3" x14ac:dyDescent="0.25">
      <c r="B78" t="str">
        <f>SUBSTITUTE(Table1[[#This Row],[Column1]],"""","""""")</f>
        <v/>
      </c>
      <c r="C78" t="str">
        <f>_xlfn.CONCAT(".InsertLines ",ROW()-1,",""",Table1[[#This Row],[Column12]],"""")</f>
        <v>.InsertLines 77,""</v>
      </c>
    </row>
    <row r="79" spans="1:3" x14ac:dyDescent="0.25">
      <c r="A79" t="s">
        <v>60</v>
      </c>
      <c r="B79" t="str">
        <f>SUBSTITUTE(Table1[[#This Row],[Column1]],"""","""""")</f>
        <v>Private Function removemodule(moduleName As String) As Boolean</v>
      </c>
      <c r="C79" t="str">
        <f>_xlfn.CONCAT(".InsertLines ",ROW()-1,",""",Table1[[#This Row],[Column12]],"""")</f>
        <v>.InsertLines 78,"Private Function removemodule(moduleName As String) As Boolean"</v>
      </c>
    </row>
    <row r="80" spans="1:3" x14ac:dyDescent="0.25">
      <c r="A80" t="s">
        <v>39</v>
      </c>
      <c r="B80" t="str">
        <f>SUBSTITUTE(Table1[[#This Row],[Column1]],"""","""""")</f>
        <v xml:space="preserve">    On Error Resume Next</v>
      </c>
      <c r="C80" t="str">
        <f>_xlfn.CONCAT(".InsertLines ",ROW()-1,",""",Table1[[#This Row],[Column12]],"""")</f>
        <v>.InsertLines 79,"    On Error Resume Next"</v>
      </c>
    </row>
    <row r="81" spans="1:3" x14ac:dyDescent="0.25">
      <c r="A81" t="s">
        <v>61</v>
      </c>
      <c r="B81" t="str">
        <f>SUBSTITUTE(Table1[[#This Row],[Column1]],"""","""""")</f>
        <v xml:space="preserve">    With ThisWorkbook.VBProject.VBComponents</v>
      </c>
      <c r="C81" t="str">
        <f>_xlfn.CONCAT(".InsertLines ",ROW()-1,",""",Table1[[#This Row],[Column12]],"""")</f>
        <v>.InsertLines 80,"    With ThisWorkbook.VBProject.VBComponents"</v>
      </c>
    </row>
    <row r="82" spans="1:3" x14ac:dyDescent="0.25">
      <c r="A82" t="s">
        <v>62</v>
      </c>
      <c r="B82" t="str">
        <f>SUBSTITUTE(Table1[[#This Row],[Column1]],"""","""""")</f>
        <v xml:space="preserve">        .Remove .Item(moduleName)</v>
      </c>
      <c r="C82" t="str">
        <f>_xlfn.CONCAT(".InsertLines ",ROW()-1,",""",Table1[[#This Row],[Column12]],"""")</f>
        <v>.InsertLines 81,"        .Remove .Item(moduleName)"</v>
      </c>
    </row>
    <row r="83" spans="1:3" x14ac:dyDescent="0.25">
      <c r="A83" t="s">
        <v>13</v>
      </c>
      <c r="B83" t="str">
        <f>SUBSTITUTE(Table1[[#This Row],[Column1]],"""","""""")</f>
        <v xml:space="preserve">    End With</v>
      </c>
      <c r="C83" t="str">
        <f>_xlfn.CONCAT(".InsertLines ",ROW()-1,",""",Table1[[#This Row],[Column12]],"""")</f>
        <v>.InsertLines 82,"    End With"</v>
      </c>
    </row>
    <row r="84" spans="1:3" x14ac:dyDescent="0.25">
      <c r="A84" t="s">
        <v>63</v>
      </c>
      <c r="B84" t="str">
        <f>SUBSTITUTE(Table1[[#This Row],[Column1]],"""","""""")</f>
        <v xml:space="preserve">    removemodule = Not (Err.Number = 9)</v>
      </c>
      <c r="C84" t="str">
        <f>_xlfn.CONCAT(".InsertLines ",ROW()-1,",""",Table1[[#This Row],[Column12]],"""")</f>
        <v>.InsertLines 83,"    removemodule = Not (Err.Number = 9)"</v>
      </c>
    </row>
    <row r="85" spans="1:3" x14ac:dyDescent="0.25">
      <c r="A85" t="s">
        <v>14</v>
      </c>
      <c r="B85" t="str">
        <f>SUBSTITUTE(Table1[[#This Row],[Column1]],"""","""""")</f>
        <v>End Function</v>
      </c>
      <c r="C85" t="str">
        <f>_xlfn.CONCAT(".InsertLines ",ROW()-1,",""",Table1[[#This Row],[Column12]],"""")</f>
        <v>.InsertLines 84,"End Function"</v>
      </c>
    </row>
    <row r="86" spans="1:3" x14ac:dyDescent="0.25">
      <c r="B86" t="str">
        <f>SUBSTITUTE(Table1[[#This Row],[Column1]],"""","""""")</f>
        <v/>
      </c>
      <c r="C86" t="str">
        <f>_xlfn.CONCAT(".InsertLines ",ROW()-1,",""",Table1[[#This Row],[Column12]],"""")</f>
        <v>.InsertLines 85,""</v>
      </c>
    </row>
    <row r="87" spans="1:3" x14ac:dyDescent="0.25">
      <c r="A87" t="s">
        <v>100</v>
      </c>
      <c r="B87" t="str">
        <f>SUBSTITUTE(Table1[[#This Row],[Column1]],"""","""""")</f>
        <v>Private Function FromBase64(Text As String) As Byte()</v>
      </c>
      <c r="C87" t="str">
        <f>_xlfn.CONCAT(".InsertLines ",ROW()-1,",""",Table1[[#This Row],[Column12]],"""")</f>
        <v>.InsertLines 86,"Private Function FromBase64(Text As String) As Byte()"</v>
      </c>
    </row>
    <row r="88" spans="1:3" x14ac:dyDescent="0.25">
      <c r="A88" t="s">
        <v>69</v>
      </c>
      <c r="B88" t="str">
        <f>SUBSTITUTE(Table1[[#This Row],[Column1]],"""","""""")</f>
        <v xml:space="preserve">    Dim Out() As Byte</v>
      </c>
      <c r="C88" t="str">
        <f>_xlfn.CONCAT(".InsertLines ",ROW()-1,",""",Table1[[#This Row],[Column12]],"""")</f>
        <v>.InsertLines 87,"    Dim Out() As Byte"</v>
      </c>
    </row>
    <row r="89" spans="1:3" x14ac:dyDescent="0.25">
      <c r="A89" t="s">
        <v>70</v>
      </c>
      <c r="B89" t="str">
        <f>SUBSTITUTE(Table1[[#This Row],[Column1]],"""","""""")</f>
        <v xml:space="preserve">    Dim b64(0 To 255) As Byte, str() As Byte, i&amp;, j&amp;, v&amp;, b0&amp;, b1&amp;, b2&amp;, b3&amp;</v>
      </c>
      <c r="C89" t="str">
        <f>_xlfn.CONCAT(".InsertLines ",ROW()-1,",""",Table1[[#This Row],[Column12]],"""")</f>
        <v>.InsertLines 88,"    Dim b64(0 To 255) As Byte, str() As Byte, i&amp;, j&amp;, v&amp;, b0&amp;, b1&amp;, b2&amp;, b3&amp;"</v>
      </c>
    </row>
    <row r="90" spans="1:3" x14ac:dyDescent="0.25">
      <c r="A90" t="s">
        <v>71</v>
      </c>
      <c r="B90" t="str">
        <f>SUBSTITUTE(Table1[[#This Row],[Column1]],"""","""""")</f>
        <v xml:space="preserve">    Out = """"</v>
      </c>
      <c r="C90" t="str">
        <f>_xlfn.CONCAT(".InsertLines ",ROW()-1,",""",Table1[[#This Row],[Column12]],"""")</f>
        <v>.InsertLines 89,"    Out = """""</v>
      </c>
    </row>
    <row r="91" spans="1:3" x14ac:dyDescent="0.25">
      <c r="A91" t="s">
        <v>72</v>
      </c>
      <c r="B91" t="str">
        <f>SUBSTITUTE(Table1[[#This Row],[Column1]],"""","""""")</f>
        <v xml:space="preserve">    If Len(Text) Then Else Exit Function</v>
      </c>
      <c r="C91" t="str">
        <f>_xlfn.CONCAT(".InsertLines ",ROW()-1,",""",Table1[[#This Row],[Column12]],"""")</f>
        <v>.InsertLines 90,"    If Len(Text) Then Else Exit Function"</v>
      </c>
    </row>
    <row r="92" spans="1:3" x14ac:dyDescent="0.25">
      <c r="B92" t="str">
        <f>SUBSTITUTE(Table1[[#This Row],[Column1]],"""","""""")</f>
        <v/>
      </c>
      <c r="C92" t="str">
        <f>_xlfn.CONCAT(".InsertLines ",ROW()-1,",""",Table1[[#This Row],[Column12]],"""")</f>
        <v>.InsertLines 91,""</v>
      </c>
    </row>
    <row r="93" spans="1:3" x14ac:dyDescent="0.25">
      <c r="A93" t="s">
        <v>73</v>
      </c>
      <c r="B93" t="str">
        <f>SUBSTITUTE(Table1[[#This Row],[Column1]],"""","""""")</f>
        <v xml:space="preserve">    str = "" ABCDEFGHIJKLMNOPQRSTUVWXYZabcdefghijklmnopqrstuvwxyz0123456789+/""</v>
      </c>
      <c r="C93" t="str">
        <f>_xlfn.CONCAT(".InsertLines ",ROW()-1,",""",Table1[[#This Row],[Column12]],"""")</f>
        <v>.InsertLines 92,"    str = "" ABCDEFGHIJKLMNOPQRSTUVWXYZabcdefghijklmnopqrstuvwxyz0123456789+/"""</v>
      </c>
    </row>
    <row r="94" spans="1:3" x14ac:dyDescent="0.25">
      <c r="A94" t="s">
        <v>74</v>
      </c>
      <c r="B94" t="str">
        <f>SUBSTITUTE(Table1[[#This Row],[Column1]],"""","""""")</f>
        <v xml:space="preserve">    For i = 2 To UBound(str) Step 2</v>
      </c>
      <c r="C94" t="str">
        <f>_xlfn.CONCAT(".InsertLines ",ROW()-1,",""",Table1[[#This Row],[Column12]],"""")</f>
        <v>.InsertLines 93,"    For i = 2 To UBound(str) Step 2"</v>
      </c>
    </row>
    <row r="95" spans="1:3" x14ac:dyDescent="0.25">
      <c r="A95" t="s">
        <v>75</v>
      </c>
      <c r="B95" t="str">
        <f>SUBSTITUTE(Table1[[#This Row],[Column1]],"""","""""")</f>
        <v xml:space="preserve">        b64(str(i)) = i \ 2</v>
      </c>
      <c r="C95" t="str">
        <f>_xlfn.CONCAT(".InsertLines ",ROW()-1,",""",Table1[[#This Row],[Column12]],"""")</f>
        <v>.InsertLines 94,"        b64(str(i)) = i \ 2"</v>
      </c>
    </row>
    <row r="96" spans="1:3" x14ac:dyDescent="0.25">
      <c r="A96" t="s">
        <v>76</v>
      </c>
      <c r="B96" t="str">
        <f>SUBSTITUTE(Table1[[#This Row],[Column1]],"""","""""")</f>
        <v xml:space="preserve">    Next</v>
      </c>
      <c r="C96" t="str">
        <f>_xlfn.CONCAT(".InsertLines ",ROW()-1,",""",Table1[[#This Row],[Column12]],"""")</f>
        <v>.InsertLines 95,"    Next"</v>
      </c>
    </row>
    <row r="97" spans="1:8" x14ac:dyDescent="0.25">
      <c r="B97" t="str">
        <f>SUBSTITUTE(Table1[[#This Row],[Column1]],"""","""""")</f>
        <v/>
      </c>
      <c r="C97" t="str">
        <f>_xlfn.CONCAT(".InsertLines ",ROW()-1,",""",Table1[[#This Row],[Column12]],"""")</f>
        <v>.InsertLines 96,""</v>
      </c>
    </row>
    <row r="98" spans="1:8" x14ac:dyDescent="0.25">
      <c r="A98" t="s">
        <v>77</v>
      </c>
      <c r="B98" t="str">
        <f>SUBSTITUTE(Table1[[#This Row],[Column1]],"""","""""")</f>
        <v xml:space="preserve">    ReDim Out(0 To ((Len(Text) + 3) \ 4) * 3 - 1)</v>
      </c>
      <c r="C98" t="str">
        <f>_xlfn.CONCAT(".InsertLines ",ROW()-1,",""",Table1[[#This Row],[Column12]],"""")</f>
        <v>.InsertLines 97,"    ReDim Out(0 To ((Len(Text) + 3) \ 4) * 3 - 1)"</v>
      </c>
    </row>
    <row r="99" spans="1:8" x14ac:dyDescent="0.25">
      <c r="A99" t="s">
        <v>78</v>
      </c>
      <c r="B99" t="str">
        <f>SUBSTITUTE(Table1[[#This Row],[Column1]],"""","""""")</f>
        <v xml:space="preserve">    str = Text &amp; String$(2, 0)</v>
      </c>
      <c r="C99" t="str">
        <f>_xlfn.CONCAT(".InsertLines ",ROW()-1,",""",Table1[[#This Row],[Column12]],"""")</f>
        <v>.InsertLines 98,"    str = Text &amp; String$(2, 0)"</v>
      </c>
    </row>
    <row r="100" spans="1:8" x14ac:dyDescent="0.25">
      <c r="B100" t="str">
        <f>SUBSTITUTE(Table1[[#This Row],[Column1]],"""","""""")</f>
        <v/>
      </c>
      <c r="C100" t="str">
        <f>_xlfn.CONCAT(".InsertLines ",ROW()-1,",""",Table1[[#This Row],[Column12]],"""")</f>
        <v>.InsertLines 99,""</v>
      </c>
    </row>
    <row r="101" spans="1:8" x14ac:dyDescent="0.25">
      <c r="A101" t="s">
        <v>79</v>
      </c>
      <c r="B101" s="1" t="str">
        <f>SUBSTITUTE(Table1[[#This Row],[Column1]],"""","""""")</f>
        <v xml:space="preserve">    For i = 0 To UBound(str) - 7 Step 2</v>
      </c>
      <c r="C101" s="1" t="str">
        <f>_xlfn.CONCAT(".InsertLines ",ROW()-1,",""",Table1[[#This Row],[Column12]],"""")</f>
        <v>.InsertLines 100,"    For i = 0 To UBound(str) - 7 Step 2"</v>
      </c>
    </row>
    <row r="102" spans="1:8" x14ac:dyDescent="0.25">
      <c r="A102" t="s">
        <v>80</v>
      </c>
      <c r="B102" s="1" t="str">
        <f>SUBSTITUTE(Table1[[#This Row],[Column1]],"""","""""")</f>
        <v xml:space="preserve">        b0 = b64(str(i))</v>
      </c>
      <c r="C102" s="1" t="str">
        <f>_xlfn.CONCAT(".InsertLines ",ROW()-1,",""",Table1[[#This Row],[Column12]],"""")</f>
        <v>.InsertLines 101,"        b0 = b64(str(i))"</v>
      </c>
    </row>
    <row r="103" spans="1:8" x14ac:dyDescent="0.25">
      <c r="B103" s="1" t="str">
        <f>SUBSTITUTE(Table1[[#This Row],[Column1]],"""","""""")</f>
        <v/>
      </c>
      <c r="C103" s="1" t="str">
        <f>_xlfn.CONCAT(".InsertLines ",ROW()-1,",""",Table1[[#This Row],[Column12]],"""")</f>
        <v>.InsertLines 102,""</v>
      </c>
    </row>
    <row r="104" spans="1:8" x14ac:dyDescent="0.25">
      <c r="A104" t="s">
        <v>81</v>
      </c>
      <c r="B104" s="1" t="str">
        <f>SUBSTITUTE(Table1[[#This Row],[Column1]],"""","""""")</f>
        <v xml:space="preserve">        If b0 Then</v>
      </c>
      <c r="C104" s="1" t="str">
        <f>_xlfn.CONCAT(".InsertLines ",ROW()-1,",""",Table1[[#This Row],[Column12]],"""")</f>
        <v>.InsertLines 103,"        If b0 Then"</v>
      </c>
      <c r="H104" s="2"/>
    </row>
    <row r="105" spans="1:8" x14ac:dyDescent="0.25">
      <c r="A105" t="s">
        <v>82</v>
      </c>
      <c r="B105" s="1" t="str">
        <f>SUBSTITUTE(Table1[[#This Row],[Column1]],"""","""""")</f>
        <v xml:space="preserve">            b1 = b64(str(i + 2))</v>
      </c>
      <c r="C105" s="1" t="str">
        <f>_xlfn.CONCAT(".InsertLines ",ROW()-1,",""",Table1[[#This Row],[Column12]],"""")</f>
        <v>.InsertLines 104,"            b1 = b64(str(i + 2))"</v>
      </c>
    </row>
    <row r="106" spans="1:8" x14ac:dyDescent="0.25">
      <c r="A106" t="s">
        <v>83</v>
      </c>
      <c r="B106" s="1" t="str">
        <f>SUBSTITUTE(Table1[[#This Row],[Column1]],"""","""""")</f>
        <v xml:space="preserve">            b2 = b64(str(i + 4))</v>
      </c>
      <c r="C106" s="1" t="str">
        <f>_xlfn.CONCAT(".InsertLines ",ROW()-1,",""",Table1[[#This Row],[Column12]],"""")</f>
        <v>.InsertLines 105,"            b2 = b64(str(i + 4))"</v>
      </c>
    </row>
    <row r="107" spans="1:8" x14ac:dyDescent="0.25">
      <c r="A107" t="s">
        <v>84</v>
      </c>
      <c r="B107" s="1" t="str">
        <f>SUBSTITUTE(Table1[[#This Row],[Column1]],"""","""""")</f>
        <v xml:space="preserve">            b3 = b64(str(i + 6))</v>
      </c>
      <c r="C107" s="1" t="str">
        <f>_xlfn.CONCAT(".InsertLines ",ROW()-1,",""",Table1[[#This Row],[Column12]],"""")</f>
        <v>.InsertLines 106,"            b3 = b64(str(i + 6))"</v>
      </c>
    </row>
    <row r="108" spans="1:8" x14ac:dyDescent="0.25">
      <c r="A108" t="s">
        <v>85</v>
      </c>
      <c r="B108" s="1" t="str">
        <f>SUBSTITUTE(Table1[[#This Row],[Column1]],"""","""""")</f>
        <v xml:space="preserve">            v = b0 * 262144 + b1 * 4096&amp; + b2 * 64&amp; + b3 - 266305</v>
      </c>
      <c r="C108" s="1" t="str">
        <f>_xlfn.CONCAT(".InsertLines ",ROW()-1,",""",Table1[[#This Row],[Column12]],"""")</f>
        <v>.InsertLines 107,"            v = b0 * 262144 + b1 * 4096&amp; + b2 * 64&amp; + b3 - 266305"</v>
      </c>
    </row>
    <row r="109" spans="1:8" x14ac:dyDescent="0.25">
      <c r="A109" t="s">
        <v>86</v>
      </c>
      <c r="B109" s="1" t="str">
        <f>SUBSTITUTE(Table1[[#This Row],[Column1]],"""","""""")</f>
        <v xml:space="preserve">            Out(j) = v \ 65536</v>
      </c>
      <c r="C109" s="1" t="str">
        <f>_xlfn.CONCAT(".InsertLines ",ROW()-1,",""",Table1[[#This Row],[Column12]],"""")</f>
        <v>.InsertLines 108,"            Out(j) = v \ 65536"</v>
      </c>
    </row>
    <row r="110" spans="1:8" x14ac:dyDescent="0.25">
      <c r="A110" t="s">
        <v>87</v>
      </c>
      <c r="B110" s="1" t="str">
        <f>SUBSTITUTE(Table1[[#This Row],[Column1]],"""","""""")</f>
        <v xml:space="preserve">            Out(j + 1) = (v \ 256&amp;) Mod 256</v>
      </c>
      <c r="C110" s="1" t="str">
        <f>_xlfn.CONCAT(".InsertLines ",ROW()-1,",""",Table1[[#This Row],[Column12]],"""")</f>
        <v>.InsertLines 109,"            Out(j + 1) = (v \ 256&amp;) Mod 256"</v>
      </c>
    </row>
    <row r="111" spans="1:8" x14ac:dyDescent="0.25">
      <c r="A111" t="s">
        <v>88</v>
      </c>
      <c r="B111" s="1" t="str">
        <f>SUBSTITUTE(Table1[[#This Row],[Column1]],"""","""""")</f>
        <v xml:space="preserve">            Out(j + 2) = v Mod 256</v>
      </c>
      <c r="C111" s="1" t="str">
        <f>_xlfn.CONCAT(".InsertLines ",ROW()-1,",""",Table1[[#This Row],[Column12]],"""")</f>
        <v>.InsertLines 110,"            Out(j + 2) = v Mod 256"</v>
      </c>
    </row>
    <row r="112" spans="1:8" x14ac:dyDescent="0.25">
      <c r="A112" t="s">
        <v>89</v>
      </c>
      <c r="B112" s="1" t="str">
        <f>SUBSTITUTE(Table1[[#This Row],[Column1]],"""","""""")</f>
        <v xml:space="preserve">            j = j + 3</v>
      </c>
      <c r="C112" s="1" t="str">
        <f>_xlfn.CONCAT(".InsertLines ",ROW()-1,",""",Table1[[#This Row],[Column12]],"""")</f>
        <v>.InsertLines 111,"            j = j + 3"</v>
      </c>
    </row>
    <row r="113" spans="1:3" x14ac:dyDescent="0.25">
      <c r="A113" t="s">
        <v>90</v>
      </c>
      <c r="B113" s="1" t="str">
        <f>SUBSTITUTE(Table1[[#This Row],[Column1]],"""","""""")</f>
        <v xml:space="preserve">            i = i + 6</v>
      </c>
      <c r="C113" s="1" t="str">
        <f>_xlfn.CONCAT(".InsertLines ",ROW()-1,",""",Table1[[#This Row],[Column12]],"""")</f>
        <v>.InsertLines 112,"            i = i + 6"</v>
      </c>
    </row>
    <row r="114" spans="1:3" x14ac:dyDescent="0.25">
      <c r="A114" t="s">
        <v>35</v>
      </c>
      <c r="B114" s="1" t="str">
        <f>SUBSTITUTE(Table1[[#This Row],[Column1]],"""","""""")</f>
        <v xml:space="preserve">        End If</v>
      </c>
      <c r="C114" s="1" t="str">
        <f>_xlfn.CONCAT(".InsertLines ",ROW()-1,",""",Table1[[#This Row],[Column12]],"""")</f>
        <v>.InsertLines 113,"        End If"</v>
      </c>
    </row>
    <row r="115" spans="1:3" x14ac:dyDescent="0.25">
      <c r="A115" t="s">
        <v>76</v>
      </c>
      <c r="B115" s="1" t="str">
        <f>SUBSTITUTE(Table1[[#This Row],[Column1]],"""","""""")</f>
        <v xml:space="preserve">    Next</v>
      </c>
      <c r="C115" s="1" t="str">
        <f>_xlfn.CONCAT(".InsertLines ",ROW()-1,",""",Table1[[#This Row],[Column12]],"""")</f>
        <v>.InsertLines 114,"    Next"</v>
      </c>
    </row>
    <row r="116" spans="1:3" x14ac:dyDescent="0.25">
      <c r="B116" s="1" t="str">
        <f>SUBSTITUTE(Table1[[#This Row],[Column1]],"""","""""")</f>
        <v/>
      </c>
      <c r="C116" s="1" t="str">
        <f>_xlfn.CONCAT(".InsertLines ",ROW()-1,",""",Table1[[#This Row],[Column12]],"""")</f>
        <v>.InsertLines 115,""</v>
      </c>
    </row>
    <row r="117" spans="1:3" x14ac:dyDescent="0.25">
      <c r="A117" t="s">
        <v>91</v>
      </c>
      <c r="B117" s="1" t="str">
        <f>SUBSTITUTE(Table1[[#This Row],[Column1]],"""","""""")</f>
        <v xml:space="preserve">    If b2 = 0 Then</v>
      </c>
      <c r="C117" s="1" t="str">
        <f>_xlfn.CONCAT(".InsertLines ",ROW()-1,",""",Table1[[#This Row],[Column12]],"""")</f>
        <v>.InsertLines 116,"    If b2 = 0 Then"</v>
      </c>
    </row>
    <row r="118" spans="1:3" x14ac:dyDescent="0.25">
      <c r="A118" t="s">
        <v>92</v>
      </c>
      <c r="B118" s="1" t="str">
        <f>SUBSTITUTE(Table1[[#This Row],[Column1]],"""","""""")</f>
        <v xml:space="preserve">        Out(j - 3) = (v + 65) \ 65536</v>
      </c>
      <c r="C118" s="1" t="str">
        <f>_xlfn.CONCAT(".InsertLines ",ROW()-1,",""",Table1[[#This Row],[Column12]],"""")</f>
        <v>.InsertLines 117,"        Out(j - 3) = (v + 65) \ 65536"</v>
      </c>
    </row>
    <row r="119" spans="1:3" x14ac:dyDescent="0.25">
      <c r="A119" t="s">
        <v>93</v>
      </c>
      <c r="B119" s="1" t="str">
        <f>SUBSTITUTE(Table1[[#This Row],[Column1]],"""","""""")</f>
        <v xml:space="preserve">        j = j - 2</v>
      </c>
      <c r="C119" s="1" t="str">
        <f>_xlfn.CONCAT(".InsertLines ",ROW()-1,",""",Table1[[#This Row],[Column12]],"""")</f>
        <v>.InsertLines 118,"        j = j - 2"</v>
      </c>
    </row>
    <row r="120" spans="1:3" x14ac:dyDescent="0.25">
      <c r="A120" t="s">
        <v>94</v>
      </c>
      <c r="B120" s="1" t="str">
        <f>SUBSTITUTE(Table1[[#This Row],[Column1]],"""","""""")</f>
        <v xml:space="preserve">    ElseIf b3 = 0 Then</v>
      </c>
      <c r="C120" s="1" t="str">
        <f>_xlfn.CONCAT(".InsertLines ",ROW()-1,",""",Table1[[#This Row],[Column12]],"""")</f>
        <v>.InsertLines 119,"    ElseIf b3 = 0 Then"</v>
      </c>
    </row>
    <row r="121" spans="1:3" x14ac:dyDescent="0.25">
      <c r="A121" t="s">
        <v>95</v>
      </c>
      <c r="B121" s="1" t="str">
        <f>SUBSTITUTE(Table1[[#This Row],[Column1]],"""","""""")</f>
        <v xml:space="preserve">        Out(j - 3) = (v + 1) \ 65536</v>
      </c>
      <c r="C121" s="1" t="str">
        <f>_xlfn.CONCAT(".InsertLines ",ROW()-1,",""",Table1[[#This Row],[Column12]],"""")</f>
        <v>.InsertLines 120,"        Out(j - 3) = (v + 1) \ 65536"</v>
      </c>
    </row>
    <row r="122" spans="1:3" x14ac:dyDescent="0.25">
      <c r="A122" t="s">
        <v>96</v>
      </c>
      <c r="B122" s="1" t="str">
        <f>SUBSTITUTE(Table1[[#This Row],[Column1]],"""","""""")</f>
        <v xml:space="preserve">        Out(j - 2) = ((v + 1) \ 256&amp;) Mod 256</v>
      </c>
      <c r="C122" s="1" t="str">
        <f>_xlfn.CONCAT(".InsertLines ",ROW()-1,",""",Table1[[#This Row],[Column12]],"""")</f>
        <v>.InsertLines 121,"        Out(j - 2) = ((v + 1) \ 256&amp;) Mod 256"</v>
      </c>
    </row>
    <row r="123" spans="1:3" x14ac:dyDescent="0.25">
      <c r="A123" t="s">
        <v>97</v>
      </c>
      <c r="B123" s="1" t="str">
        <f>SUBSTITUTE(Table1[[#This Row],[Column1]],"""","""""")</f>
        <v xml:space="preserve">        j = j - 1</v>
      </c>
      <c r="C123" s="1" t="str">
        <f>_xlfn.CONCAT(".InsertLines ",ROW()-1,",""",Table1[[#This Row],[Column12]],"""")</f>
        <v>.InsertLines 122,"        j = j - 1"</v>
      </c>
    </row>
    <row r="124" spans="1:3" x14ac:dyDescent="0.25">
      <c r="A124" t="s">
        <v>23</v>
      </c>
      <c r="B124" s="1" t="str">
        <f>SUBSTITUTE(Table1[[#This Row],[Column1]],"""","""""")</f>
        <v xml:space="preserve">    End If</v>
      </c>
      <c r="C124" s="1" t="str">
        <f>_xlfn.CONCAT(".InsertLines ",ROW()-1,",""",Table1[[#This Row],[Column12]],"""")</f>
        <v>.InsertLines 123,"    End If"</v>
      </c>
    </row>
    <row r="125" spans="1:3" x14ac:dyDescent="0.25">
      <c r="B125" s="1" t="str">
        <f>SUBSTITUTE(Table1[[#This Row],[Column1]],"""","""""")</f>
        <v/>
      </c>
      <c r="C125" s="1" t="str">
        <f>_xlfn.CONCAT(".InsertLines ",ROW()-1,",""",Table1[[#This Row],[Column12]],"""")</f>
        <v>.InsertLines 124,""</v>
      </c>
    </row>
    <row r="126" spans="1:3" x14ac:dyDescent="0.25">
      <c r="A126" t="s">
        <v>98</v>
      </c>
      <c r="B126" s="1" t="str">
        <f>SUBSTITUTE(Table1[[#This Row],[Column1]],"""","""""")</f>
        <v xml:space="preserve">    ReDim Preserve Out(j - 1)</v>
      </c>
      <c r="C126" s="1" t="str">
        <f>_xlfn.CONCAT(".InsertLines ",ROW()-1,",""",Table1[[#This Row],[Column12]],"""")</f>
        <v>.InsertLines 125,"    ReDim Preserve Out(j - 1)"</v>
      </c>
    </row>
    <row r="127" spans="1:3" x14ac:dyDescent="0.25">
      <c r="A127" t="s">
        <v>99</v>
      </c>
      <c r="B127" s="1" t="str">
        <f>SUBSTITUTE(Table1[[#This Row],[Column1]],"""","""""")</f>
        <v xml:space="preserve">    FromBase64 = Out</v>
      </c>
      <c r="C127" s="1" t="str">
        <f>_xlfn.CONCAT(".InsertLines ",ROW()-1,",""",Table1[[#This Row],[Column12]],"""")</f>
        <v>.InsertLines 126,"    FromBase64 = Out"</v>
      </c>
    </row>
    <row r="128" spans="1:3" x14ac:dyDescent="0.25">
      <c r="A128" t="s">
        <v>14</v>
      </c>
      <c r="B128" s="1" t="str">
        <f>SUBSTITUTE(Table1[[#This Row],[Column1]],"""","""""")</f>
        <v>End Function</v>
      </c>
      <c r="C128" s="1" t="str">
        <f>_xlfn.CONCAT(".InsertLines ",ROW()-1,",""",Table1[[#This Row],[Column12]],"""")</f>
        <v>.InsertLines 127,"End Function"</v>
      </c>
    </row>
    <row r="129" spans="3:3" x14ac:dyDescent="0.25">
      <c r="C129" s="1" t="str">
        <f>_xlfn.TEXTJOIN(CHAR(10),TRUE,Table1[Column2])</f>
        <v>.InsertLines 1,"Option Explicit"
.InsertLines 2,"Private Type codeItem"
.InsertLines 3,"    extension As String"
.InsertLines 4,"    module_name As String"
.InsertLines 5,"    code_content() As String"
.InsertLines 6,"End Type"
.InsertLines 7,""
.InsertLines 8,"Private Const TypeBinary = 1"
.InsertLines 9,"Private Const ForReading = 1, ForWriting = 2, ForAppending = 8"
.InsertLines 10,""
.InsertLines 11,"Private Function getCodeDefinition(itemNo As Long) As codeItem"
.InsertLines 12,"    With getCodeDefinition"
.InsertLines 13,"        Select Case itemNo"
.InsertLines 14,"            '{0}"
.InsertLines 15,"        Case Else"
.InsertLines 16,"            .extension = ""missing"""
.InsertLines 17,"        End Select"
.InsertLines 18,"    End With"
.InsertLines 19,"End Function"
.InsertLines 20,""
.InsertLines 21,"Public Sub Extract()"
.InsertLines 22,"    Dim code_module As codeItem"
.InsertLines 23,"    Dim savedPath As String, basePath As String"
.InsertLines 24,"    Dim i As Long"
.InsertLines 25,"    'check if vbproject accessible"
.InsertLines 26,"    If Not project_accessible Then"
.InsertLines 27,"        MsgBox ""The VBA project cannot be accessed programmatically"""
.InsertLines 28,"        Exit Sub"
.InsertLines 29,"    End If"
.InsertLines 30,"    'check if temp folder acessible"
.InsertLines 31,"    i = 0"
.InsertLines 32,"    basePath = Environ$(""Temp"") &amp; ""\"""
.InsertLines 33,"    Do While True"
.InsertLines 34,"        i = i + 1"
.InsertLines 35,"        code_module = getCodeDefinition(i)"
.InsertLines 36,"        If code_module.extension = ""missing"" Then"
.InsertLines 37,"            Exit Do"
.InsertLines 38,"        Else"
.InsertLines 39,"            savedPath = createFile(code_module, basePath)"
.InsertLines 40,"            importFile savedPath"
.InsertLines 41,"            Kill savedPath"
.InsertLines 42,"        End If"
.InsertLines 43,"    Loop"
.InsertLines 44,"    removemodule ""{1}"""
.InsertLines 45,"End Sub"
.InsertLines 46,""
.InsertLines 47,"Private Function project_accessible() As Boolean"
.InsertLines 48,"    On Error Resume Next"
.InsertLines 49,"    With ThisWorkbook.VBProject"
.InsertLines 50,"        project_accessible = .Protection = vbext_pp_none"
.InsertLines 51,"        project_accessible = project_accessible And Err.Number = 0"
.InsertLines 52,"    End With"
.InsertLines 53,"End Function"
.InsertLines 54,""
.InsertLines 55,"Private Function createFile(definition As codeItem, filePath As Variant) As String"
.InsertLines 56,"    Dim codeIndex As Long"
.InsertLines 57,"    Dim newFileObj As Object"
.InsertLines 58,"    Set newFileObj = CreateObject(""ADODB.Stream"")"
.InsertLines 59,"    newFileObj.Type = TypeBinary"
.InsertLines 60,"    'Open the stream and write binary data"
.InsertLines 61,"    newFileObj.Open"
.InsertLines 62,"    'create file from x64 string"
.InsertLines 63,"    With definition"
.InsertLines 64,"        Dim bytes() As Byte"
.InsertLines 65,"        Dim fullPath As String"
.InsertLines 66,"        fullPath = filePath &amp; .module_name &amp; .extension"
.InsertLines 67,"        bytes = FromBase64(Join(.code_content))"
.InsertLines 68,"        newFileObj.Write bytes"
.InsertLines 69,"        newFileObj.SaveToFile fullPath, ForWriting"
.InsertLines 70,"        createFile = fullPath"
.InsertLines 71,"    End With"
.InsertLines 72,"End Function"
.InsertLines 73,""
.InsertLines 74,"Private Sub importFile(filePath As String)"
.InsertLines 75,"    ThisWorkbook.VBProject.VBComponents.Import filePath"
.InsertLines 76,"End Sub"
.InsertLines 77,""
.InsertLines 78,"Private Function removemodule(moduleName As String) As Boolean"
.InsertLines 79,"    On Error Resume Next"
.InsertLines 80,"    With ThisWorkbook.VBProject.VBComponents"
.InsertLines 81,"        .Remove .Item(moduleName)"
.InsertLines 82,"    End With"
.InsertLines 83,"    removemodule = Not (Err.Number = 9)"
.InsertLines 84,"End Function"
.InsertLines 85,""
.InsertLines 86,"Private Function FromBase64(Text As String) As Byte()"
.InsertLines 87,"    Dim Out() As Byte"
.InsertLines 88,"    Dim b64(0 To 255) As Byte, str() As Byte, i&amp;, j&amp;, v&amp;, b0&amp;, b1&amp;, b2&amp;, b3&amp;"
.InsertLines 89,"    Out = """""
.InsertLines 90,"    If Len(Text) Then Else Exit Function"
.InsertLines 91,""
.InsertLines 92,"    str = "" ABCDEFGHIJKLMNOPQRSTUVWXYZabcdefghijklmnopqrstuvwxyz0123456789+/"""
.InsertLines 93,"    For i = 2 To UBound(str) Step 2"
.InsertLines 94,"        b64(str(i)) = i \ 2"
.InsertLines 95,"    Next"
.InsertLines 96,""
.InsertLines 97,"    ReDim Out(0 To ((Len(Text) + 3) \ 4) * 3 - 1)"
.InsertLines 98,"    str = Text &amp; String$(2, 0)"
.InsertLines 99,""
.InsertLines 100,"    For i = 0 To UBound(str) - 7 Step 2"
.InsertLines 101,"        b0 = b64(str(i))"
.InsertLines 102,""
.InsertLines 103,"        If b0 Then"
.InsertLines 104,"            b1 = b64(str(i + 2))"
.InsertLines 105,"            b2 = b64(str(i + 4))"
.InsertLines 106,"            b3 = b64(str(i + 6))"
.InsertLines 107,"            v = b0 * 262144 + b1 * 4096&amp; + b2 * 64&amp; + b3 - 266305"
.InsertLines 108,"            Out(j) = v \ 65536"
.InsertLines 109,"            Out(j + 1) = (v \ 256&amp;) Mod 256"
.InsertLines 110,"            Out(j + 2) = v Mod 256"
.InsertLines 111,"            j = j + 3"
.InsertLines 112,"            i = i + 6"
.InsertLines 113,"        End If"
.InsertLines 114,"    Next"
.InsertLines 115,""
.InsertLines 116,"    If b2 = 0 Then"
.InsertLines 117,"        Out(j - 3) = (v + 65) \ 65536"
.InsertLines 118,"        j = j - 2"
.InsertLines 119,"    ElseIf b3 = 0 Then"
.InsertLines 120,"        Out(j - 3) = (v + 1) \ 65536"
.InsertLines 121,"        Out(j - 2) = ((v + 1) \ 256&amp;) Mod 256"
.InsertLines 122,"        j = j - 1"
.InsertLines 123,"    End If"
.InsertLines 124,""
.InsertLines 125,"    ReDim Preserve Out(j - 1)"
.InsertLines 126,"    FromBase64 = Out"
.InsertLines 127,"End Function"</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71FE5-862D-4914-A05A-9E4D21549478}">
  <sheetPr codeName="Sheet1"/>
  <dimension ref="A1:D11"/>
  <sheetViews>
    <sheetView tabSelected="1" workbookViewId="0">
      <selection activeCell="D16" sqref="D16"/>
    </sheetView>
  </sheetViews>
  <sheetFormatPr defaultRowHeight="15" x14ac:dyDescent="0.25"/>
  <cols>
    <col min="1" max="1" width="48.42578125" customWidth="1"/>
    <col min="2" max="2" width="60.42578125" hidden="1" customWidth="1"/>
    <col min="3" max="3" width="0" hidden="1" customWidth="1"/>
    <col min="4" max="4" width="44.42578125" customWidth="1"/>
  </cols>
  <sheetData>
    <row r="1" spans="1:4" x14ac:dyDescent="0.25">
      <c r="A1" t="s">
        <v>64</v>
      </c>
      <c r="B1" t="s">
        <v>65</v>
      </c>
      <c r="C1" t="s">
        <v>113</v>
      </c>
      <c r="D1" t="s">
        <v>114</v>
      </c>
    </row>
    <row r="2" spans="1:4" x14ac:dyDescent="0.25">
      <c r="A2" t="s">
        <v>104</v>
      </c>
      <c r="B2" t="str">
        <f>RIGHT(Table2[[#This Row],[Column1]],LEN(Table2[[#This Row],[Column1]])-34)</f>
        <v>Private Sub UserForm_Initialize()"</v>
      </c>
      <c r="C2" t="str">
        <f>LEFT(Table2[[#This Row],[Column2]],LEN(Table2[[#This Row],[Column2]])-1)</f>
        <v>Private Sub UserForm_Initialize()</v>
      </c>
      <c r="D2" t="s">
        <v>116</v>
      </c>
    </row>
    <row r="3" spans="1:4" x14ac:dyDescent="0.25">
      <c r="A3" t="s">
        <v>105</v>
      </c>
      <c r="B3" t="str">
        <f>RIGHT(Table2[[#This Row],[Column1]],LEN(Table2[[#This Row],[Column1]])-34)</f>
        <v xml:space="preserve">   me.lst_1.addItem ""Data 1"" "</v>
      </c>
      <c r="C3" t="str">
        <f>LEFT(Table2[[#This Row],[Column2]],LEN(Table2[[#This Row],[Column2]])-1)</f>
        <v xml:space="preserve">   me.lst_1.addItem ""Data 1"" </v>
      </c>
      <c r="D3" t="s">
        <v>117</v>
      </c>
    </row>
    <row r="4" spans="1:4" x14ac:dyDescent="0.25">
      <c r="A4" t="s">
        <v>106</v>
      </c>
      <c r="B4" t="str">
        <f>RIGHT(Table2[[#This Row],[Column1]],LEN(Table2[[#This Row],[Column1]])-34)</f>
        <v xml:space="preserve">   me.lst_1.addItem ""Data 2"" "</v>
      </c>
      <c r="C4" t="str">
        <f>LEFT(Table2[[#This Row],[Column2]],LEN(Table2[[#This Row],[Column2]])-1)</f>
        <v xml:space="preserve">   me.lst_1.addItem ""Data 2"" </v>
      </c>
      <c r="D4" t="s">
        <v>118</v>
      </c>
    </row>
    <row r="5" spans="1:4" x14ac:dyDescent="0.25">
      <c r="A5" t="s">
        <v>107</v>
      </c>
      <c r="B5" t="str">
        <f>RIGHT(Table2[[#This Row],[Column1]],LEN(Table2[[#This Row],[Column1]])-34)</f>
        <v xml:space="preserve">   me.lst_1.addItem ""Data 3"" "</v>
      </c>
      <c r="C5" t="str">
        <f>LEFT(Table2[[#This Row],[Column2]],LEN(Table2[[#This Row],[Column2]])-1)</f>
        <v xml:space="preserve">   me.lst_1.addItem ""Data 3"" </v>
      </c>
      <c r="D5" t="s">
        <v>119</v>
      </c>
    </row>
    <row r="6" spans="1:4" x14ac:dyDescent="0.25">
      <c r="A6" t="s">
        <v>108</v>
      </c>
      <c r="B6" t="str">
        <f>RIGHT(Table2[[#This Row],[Column1]],LEN(Table2[[#This Row],[Column1]])-34)</f>
        <v>End Sub"</v>
      </c>
      <c r="C6" t="str">
        <f>LEFT(Table2[[#This Row],[Column2]],LEN(Table2[[#This Row],[Column2]])-1)</f>
        <v>End Sub</v>
      </c>
      <c r="D6" t="s">
        <v>37</v>
      </c>
    </row>
    <row r="7" spans="1:4" x14ac:dyDescent="0.25">
      <c r="A7" t="s">
        <v>109</v>
      </c>
      <c r="B7" t="str">
        <f>RIGHT(Table2[[#This Row],[Column1]],LEN(Table2[[#This Row],[Column1]])-34)</f>
        <v>Private Sub cmd_1_Click()"</v>
      </c>
      <c r="C7" t="str">
        <f>LEFT(Table2[[#This Row],[Column2]],LEN(Table2[[#This Row],[Column2]])-1)</f>
        <v>Private Sub cmd_1_Click()</v>
      </c>
      <c r="D7" t="s">
        <v>120</v>
      </c>
    </row>
    <row r="8" spans="1:4" x14ac:dyDescent="0.25">
      <c r="A8" t="s">
        <v>110</v>
      </c>
      <c r="B8" t="str">
        <f>RIGHT(Table2[[#This Row],[Column1]],LEN(Table2[[#This Row],[Column1]])-34)</f>
        <v xml:space="preserve">   If me.lst_1.text &lt;&gt;"""" Then"</v>
      </c>
      <c r="C8" t="str">
        <f>LEFT(Table2[[#This Row],[Column2]],LEN(Table2[[#This Row],[Column2]])-1)</f>
        <v xml:space="preserve">   If me.lst_1.text &lt;&gt;"""" Then</v>
      </c>
      <c r="D8" t="s">
        <v>121</v>
      </c>
    </row>
    <row r="9" spans="1:4" x14ac:dyDescent="0.25">
      <c r="A9" t="s">
        <v>111</v>
      </c>
      <c r="B9" t="str">
        <f>RIGHT(Table2[[#This Row],[Column1]],LEN(Table2[[#This Row],[Column1]])-34)</f>
        <v xml:space="preserve">      msgbox (""You selected item: "" &amp; me.lst_1.text )"</v>
      </c>
      <c r="C9" t="str">
        <f>LEFT(Table2[[#This Row],[Column2]],LEN(Table2[[#This Row],[Column2]])-1)</f>
        <v xml:space="preserve">      msgbox (""You selected item: "" &amp; me.lst_1.text )</v>
      </c>
      <c r="D9" t="s">
        <v>122</v>
      </c>
    </row>
    <row r="10" spans="1:4" x14ac:dyDescent="0.25">
      <c r="A10" t="s">
        <v>112</v>
      </c>
      <c r="B10" t="str">
        <f>RIGHT(Table2[[#This Row],[Column1]],LEN(Table2[[#This Row],[Column1]])-34)</f>
        <v xml:space="preserve">   End If"</v>
      </c>
      <c r="C10" t="str">
        <f>LEFT(Table2[[#This Row],[Column2]],LEN(Table2[[#This Row],[Column2]])-1)</f>
        <v xml:space="preserve">   End If</v>
      </c>
      <c r="D10" t="s">
        <v>123</v>
      </c>
    </row>
    <row r="11" spans="1:4" x14ac:dyDescent="0.25">
      <c r="A11" t="s">
        <v>115</v>
      </c>
      <c r="B11" t="str">
        <f>RIGHT(Table2[[#This Row],[Column1]],LEN(Table2[[#This Row],[Column1]])-34)</f>
        <v>End Sub"</v>
      </c>
      <c r="C11" t="str">
        <f>LEFT(Table2[[#This Row],[Column2]],LEN(Table2[[#This Row],[Column2]])-1)</f>
        <v>End Sub</v>
      </c>
      <c r="D11" t="s">
        <v>37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Sheet2</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Guy Hall</dc:creator>
  <cp:lastModifiedBy>Guy Hall</cp:lastModifiedBy>
  <dcterms:created xsi:type="dcterms:W3CDTF">2018-03-03T16:58:47Z</dcterms:created>
  <dcterms:modified xsi:type="dcterms:W3CDTF">2018-03-22T08:33:50Z</dcterms:modified>
</cp:coreProperties>
</file>